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ikithaKotla\Downloads\"/>
    </mc:Choice>
  </mc:AlternateContent>
  <xr:revisionPtr revIDLastSave="0" documentId="13_ncr:1_{950D88CE-895C-47B7-9591-E81F5746CBF1}" xr6:coauthVersionLast="47" xr6:coauthVersionMax="47" xr10:uidLastSave="{00000000-0000-0000-0000-000000000000}"/>
  <bookViews>
    <workbookView xWindow="-108" yWindow="-108" windowWidth="23256" windowHeight="12456" activeTab="4" xr2:uid="{D1FC2354-1431-294E-9D05-A71CF1B59C9B}"/>
  </bookViews>
  <sheets>
    <sheet name="Raw" sheetId="1" r:id="rId1"/>
    <sheet name="Raw (2)" sheetId="6" r:id="rId2"/>
    <sheet name="Clean" sheetId="4" r:id="rId3"/>
    <sheet name="Analysis" sheetId="2" r:id="rId4"/>
    <sheet name="Findings" sheetId="3" r:id="rId5"/>
  </sheets>
  <definedNames>
    <definedName name="_xlchart.v1.0" hidden="1">'Raw (2)'!$E$3:$E$259</definedName>
    <definedName name="_xlchart.v1.1" hidden="1">'Raw (2)'!$E$3:$E$259</definedName>
    <definedName name="_xlchart.v1.2" hidden="1">'Raw (2)'!$H$3:$H$259</definedName>
  </definedNames>
  <calcPr calcId="191029"/>
  <pivotCaches>
    <pivotCache cacheId="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6" l="1"/>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K3" i="6" a="1"/>
  <c r="K3" i="6" s="1"/>
  <c r="K4" i="6" a="1"/>
  <c r="K4" i="6" s="1"/>
  <c r="K5" i="6" a="1"/>
  <c r="K5" i="6" s="1"/>
  <c r="K6" i="6" a="1"/>
  <c r="K6" i="6" s="1"/>
  <c r="K7" i="6" a="1"/>
  <c r="K7" i="6" s="1"/>
  <c r="K8" i="6" a="1"/>
  <c r="K8" i="6" s="1"/>
  <c r="K9" i="6" a="1"/>
  <c r="K9" i="6" s="1"/>
  <c r="K10" i="6" a="1"/>
  <c r="K10" i="6" s="1"/>
  <c r="K11" i="6" a="1"/>
  <c r="K11" i="6" s="1"/>
  <c r="K12" i="6" a="1"/>
  <c r="K12" i="6" s="1"/>
  <c r="K13" i="6" a="1"/>
  <c r="K13" i="6" s="1"/>
  <c r="K14" i="6" a="1"/>
  <c r="K14" i="6" s="1"/>
  <c r="K15" i="6" a="1"/>
  <c r="K15" i="6" s="1"/>
  <c r="K16" i="6" a="1"/>
  <c r="K16" i="6" s="1"/>
  <c r="K17" i="6" a="1"/>
  <c r="K17" i="6" s="1"/>
  <c r="K18" i="6" a="1"/>
  <c r="K18" i="6" s="1"/>
  <c r="K19" i="6" a="1"/>
  <c r="K19" i="6"/>
  <c r="K20" i="6" a="1"/>
  <c r="K20" i="6" s="1"/>
  <c r="K21" i="6" a="1"/>
  <c r="K21" i="6" s="1"/>
  <c r="K22" i="6" a="1"/>
  <c r="K22" i="6" s="1"/>
  <c r="K23" i="6" a="1"/>
  <c r="K23" i="6" s="1"/>
  <c r="K24" i="6" a="1"/>
  <c r="K24" i="6" s="1"/>
  <c r="K25" i="6" a="1"/>
  <c r="K25" i="6" s="1"/>
  <c r="K26" i="6" a="1"/>
  <c r="K26" i="6" s="1"/>
  <c r="K27" i="6" a="1"/>
  <c r="K27" i="6" s="1"/>
  <c r="K28" i="6" a="1"/>
  <c r="K28" i="6" s="1"/>
  <c r="K29" i="6" a="1"/>
  <c r="K29" i="6" s="1"/>
  <c r="K30" i="6" a="1"/>
  <c r="K30" i="6" s="1"/>
  <c r="K31" i="6" a="1"/>
  <c r="K31" i="6"/>
  <c r="K32" i="6" a="1"/>
  <c r="K32" i="6" s="1"/>
  <c r="K33" i="6" a="1"/>
  <c r="K33" i="6" s="1"/>
  <c r="K34" i="6" a="1"/>
  <c r="K34" i="6" s="1"/>
  <c r="K35" i="6" a="1"/>
  <c r="K35" i="6" s="1"/>
  <c r="K36" i="6" a="1"/>
  <c r="K36" i="6" s="1"/>
  <c r="K37" i="6" a="1"/>
  <c r="K37" i="6"/>
  <c r="K38" i="6" a="1"/>
  <c r="K38" i="6" s="1"/>
  <c r="K39" i="6" a="1"/>
  <c r="K39" i="6" s="1"/>
  <c r="K40" i="6" a="1"/>
  <c r="K40" i="6" s="1"/>
  <c r="K41" i="6" a="1"/>
  <c r="K41" i="6" s="1"/>
  <c r="K42" i="6" a="1"/>
  <c r="K42" i="6" s="1"/>
  <c r="K43" i="6" a="1"/>
  <c r="K43" i="6" s="1"/>
  <c r="K44" i="6" a="1"/>
  <c r="K44" i="6" s="1"/>
  <c r="K45" i="6" a="1"/>
  <c r="K45" i="6" s="1"/>
  <c r="K46" i="6" a="1"/>
  <c r="K46" i="6" s="1"/>
  <c r="K47" i="6" a="1"/>
  <c r="K47" i="6" s="1"/>
  <c r="K48" i="6" a="1"/>
  <c r="K48" i="6"/>
  <c r="K49" i="6" a="1"/>
  <c r="K49" i="6"/>
  <c r="K50" i="6" a="1"/>
  <c r="K50" i="6"/>
  <c r="K51" i="6" a="1"/>
  <c r="K51" i="6" s="1"/>
  <c r="K52" i="6" a="1"/>
  <c r="K52" i="6" s="1"/>
  <c r="K53" i="6" a="1"/>
  <c r="K53" i="6" s="1"/>
  <c r="K54" i="6" a="1"/>
  <c r="K54" i="6" s="1"/>
  <c r="K55" i="6" a="1"/>
  <c r="K55" i="6" s="1"/>
  <c r="K56" i="6" a="1"/>
  <c r="K56" i="6" s="1"/>
  <c r="K57" i="6" a="1"/>
  <c r="K57" i="6" s="1"/>
  <c r="K58" i="6" a="1"/>
  <c r="K58" i="6" s="1"/>
  <c r="K59" i="6" a="1"/>
  <c r="K59" i="6" s="1"/>
  <c r="K60" i="6" a="1"/>
  <c r="K60" i="6"/>
  <c r="K61" i="6" a="1"/>
  <c r="K61" i="6" s="1"/>
  <c r="K62" i="6" a="1"/>
  <c r="K62" i="6" s="1"/>
  <c r="K63" i="6" a="1"/>
  <c r="K63" i="6" s="1"/>
  <c r="K64" i="6" a="1"/>
  <c r="K64" i="6" s="1"/>
  <c r="K65" i="6" a="1"/>
  <c r="K65" i="6" s="1"/>
  <c r="K66" i="6" a="1"/>
  <c r="K66" i="6" s="1"/>
  <c r="K67" i="6" a="1"/>
  <c r="K67" i="6"/>
  <c r="K68" i="6" a="1"/>
  <c r="K68" i="6" s="1"/>
  <c r="K69" i="6" a="1"/>
  <c r="K69" i="6" s="1"/>
  <c r="K70" i="6" a="1"/>
  <c r="K70" i="6" s="1"/>
  <c r="K71" i="6" a="1"/>
  <c r="K71" i="6" s="1"/>
  <c r="K72" i="6" a="1"/>
  <c r="K72" i="6" s="1"/>
  <c r="K73" i="6" a="1"/>
  <c r="K73" i="6" s="1"/>
  <c r="K74" i="6" a="1"/>
  <c r="K74" i="6" s="1"/>
  <c r="K75" i="6" a="1"/>
  <c r="K75" i="6" s="1"/>
  <c r="K76" i="6" a="1"/>
  <c r="K76" i="6" s="1"/>
  <c r="K77" i="6" a="1"/>
  <c r="K77" i="6" s="1"/>
  <c r="K78" i="6" a="1"/>
  <c r="K78" i="6" s="1"/>
  <c r="K79" i="6" a="1"/>
  <c r="K79" i="6"/>
  <c r="K80" i="6" a="1"/>
  <c r="K80" i="6" s="1"/>
  <c r="K81" i="6" a="1"/>
  <c r="K81" i="6" s="1"/>
  <c r="K82" i="6" a="1"/>
  <c r="K82" i="6" s="1"/>
  <c r="K83" i="6" a="1"/>
  <c r="K83" i="6" s="1"/>
  <c r="K84" i="6" a="1"/>
  <c r="K84" i="6" s="1"/>
  <c r="K85" i="6" a="1"/>
  <c r="K85" i="6" s="1"/>
  <c r="K86" i="6" a="1"/>
  <c r="K86" i="6" s="1"/>
  <c r="K87" i="6" a="1"/>
  <c r="K87" i="6" s="1"/>
  <c r="K88" i="6" a="1"/>
  <c r="K88" i="6" s="1"/>
  <c r="K89" i="6" a="1"/>
  <c r="K89" i="6" s="1"/>
  <c r="K90" i="6" a="1"/>
  <c r="K90" i="6" s="1"/>
  <c r="K91" i="6" a="1"/>
  <c r="K91" i="6" s="1"/>
  <c r="K92" i="6" a="1"/>
  <c r="K92" i="6" s="1"/>
  <c r="K93" i="6" a="1"/>
  <c r="K93" i="6" s="1"/>
  <c r="K94" i="6" a="1"/>
  <c r="K94" i="6" s="1"/>
  <c r="K95" i="6" a="1"/>
  <c r="K95" i="6" s="1"/>
  <c r="K96" i="6" a="1"/>
  <c r="K96" i="6" s="1"/>
  <c r="K97" i="6" a="1"/>
  <c r="K97" i="6"/>
  <c r="K98" i="6" a="1"/>
  <c r="K98" i="6" s="1"/>
  <c r="K99" i="6" a="1"/>
  <c r="K99" i="6" s="1"/>
  <c r="K100" i="6" a="1"/>
  <c r="K100" i="6" s="1"/>
  <c r="K101" i="6" a="1"/>
  <c r="K101" i="6" s="1"/>
  <c r="K102" i="6" a="1"/>
  <c r="K102" i="6" s="1"/>
  <c r="K103" i="6" a="1"/>
  <c r="K103" i="6"/>
  <c r="K104" i="6" a="1"/>
  <c r="K104" i="6" s="1"/>
  <c r="K105" i="6" a="1"/>
  <c r="K105" i="6" s="1"/>
  <c r="K106" i="6" a="1"/>
  <c r="K106" i="6" s="1"/>
  <c r="K107" i="6" a="1"/>
  <c r="K107" i="6" s="1"/>
  <c r="K108" i="6" a="1"/>
  <c r="K108" i="6"/>
  <c r="K109" i="6" a="1"/>
  <c r="K109" i="6"/>
  <c r="K110" i="6" a="1"/>
  <c r="K110" i="6" s="1"/>
  <c r="K111" i="6" a="1"/>
  <c r="K111" i="6" s="1"/>
  <c r="K112" i="6" a="1"/>
  <c r="K112" i="6" s="1"/>
  <c r="K113" i="6" a="1"/>
  <c r="K113" i="6" s="1"/>
  <c r="K114" i="6" a="1"/>
  <c r="K114" i="6" s="1"/>
  <c r="K115" i="6" a="1"/>
  <c r="K115" i="6" s="1"/>
  <c r="K116" i="6" a="1"/>
  <c r="K116" i="6" s="1"/>
  <c r="K117" i="6" a="1"/>
  <c r="K117" i="6" s="1"/>
  <c r="K118" i="6" a="1"/>
  <c r="K118" i="6" s="1"/>
  <c r="K119" i="6" a="1"/>
  <c r="K119" i="6" s="1"/>
  <c r="K120" i="6" a="1"/>
  <c r="K120" i="6" s="1"/>
  <c r="K121" i="6" a="1"/>
  <c r="K121" i="6"/>
  <c r="K122" i="6" a="1"/>
  <c r="K122" i="6" s="1"/>
  <c r="K123" i="6" a="1"/>
  <c r="K123" i="6" s="1"/>
  <c r="K124" i="6" a="1"/>
  <c r="K124" i="6" s="1"/>
  <c r="K125" i="6" a="1"/>
  <c r="K125" i="6" s="1"/>
  <c r="K126" i="6" a="1"/>
  <c r="K126" i="6" s="1"/>
  <c r="K127" i="6" a="1"/>
  <c r="K127" i="6"/>
  <c r="K128" i="6" a="1"/>
  <c r="K128" i="6" s="1"/>
  <c r="K129" i="6" a="1"/>
  <c r="K129" i="6" s="1"/>
  <c r="K130" i="6" a="1"/>
  <c r="K130" i="6" s="1"/>
  <c r="K131" i="6" a="1"/>
  <c r="K131" i="6" s="1"/>
  <c r="K132" i="6" a="1"/>
  <c r="K132" i="6" s="1"/>
  <c r="K133" i="6" a="1"/>
  <c r="K133" i="6" s="1"/>
  <c r="K134" i="6" a="1"/>
  <c r="K134" i="6" s="1"/>
  <c r="K135" i="6" a="1"/>
  <c r="K135" i="6" s="1"/>
  <c r="K136" i="6" a="1"/>
  <c r="K136" i="6" s="1"/>
  <c r="K137" i="6" a="1"/>
  <c r="K137" i="6" s="1"/>
  <c r="K138" i="6" a="1"/>
  <c r="K138" i="6" s="1"/>
  <c r="K139" i="6" a="1"/>
  <c r="K139" i="6" s="1"/>
  <c r="K140" i="6" a="1"/>
  <c r="K140" i="6" s="1"/>
  <c r="K141" i="6" a="1"/>
  <c r="K141" i="6" s="1"/>
  <c r="K142" i="6" a="1"/>
  <c r="K142" i="6" s="1"/>
  <c r="K143" i="6" a="1"/>
  <c r="K143" i="6" s="1"/>
  <c r="K144" i="6" a="1"/>
  <c r="K144" i="6" s="1"/>
  <c r="K145" i="6" a="1"/>
  <c r="K145" i="6" s="1"/>
  <c r="K146" i="6" a="1"/>
  <c r="K146" i="6" s="1"/>
  <c r="K147" i="6" a="1"/>
  <c r="K147" i="6" s="1"/>
  <c r="K148" i="6" a="1"/>
  <c r="K148" i="6" s="1"/>
  <c r="K149" i="6" a="1"/>
  <c r="K149" i="6" s="1"/>
  <c r="K150" i="6" a="1"/>
  <c r="K150" i="6"/>
  <c r="K151" i="6" a="1"/>
  <c r="K151" i="6" s="1"/>
  <c r="K152" i="6" a="1"/>
  <c r="K152" i="6" s="1"/>
  <c r="K153" i="6" a="1"/>
  <c r="K153" i="6" s="1"/>
  <c r="K154" i="6" a="1"/>
  <c r="K154" i="6" s="1"/>
  <c r="K155" i="6" a="1"/>
  <c r="K155" i="6" s="1"/>
  <c r="K156" i="6" a="1"/>
  <c r="K156" i="6" s="1"/>
  <c r="K157" i="6" a="1"/>
  <c r="K157" i="6" s="1"/>
  <c r="K158" i="6" a="1"/>
  <c r="K158" i="6" s="1"/>
  <c r="K159" i="6" a="1"/>
  <c r="K159" i="6" s="1"/>
  <c r="K160" i="6" a="1"/>
  <c r="K160" i="6" s="1"/>
  <c r="K161" i="6" a="1"/>
  <c r="K161" i="6" s="1"/>
  <c r="K162" i="6" a="1"/>
  <c r="K162" i="6"/>
  <c r="K163" i="6" a="1"/>
  <c r="K163" i="6" s="1"/>
  <c r="K164" i="6" a="1"/>
  <c r="K164" i="6"/>
  <c r="K165" i="6" a="1"/>
  <c r="K165" i="6" s="1"/>
  <c r="K166" i="6" a="1"/>
  <c r="K166" i="6" s="1"/>
  <c r="K167" i="6" a="1"/>
  <c r="K167" i="6" s="1"/>
  <c r="K168" i="6" a="1"/>
  <c r="K168" i="6"/>
  <c r="K169" i="6" a="1"/>
  <c r="K169" i="6" s="1"/>
  <c r="K170" i="6" a="1"/>
  <c r="K170" i="6" s="1"/>
  <c r="K171" i="6" a="1"/>
  <c r="K171" i="6" s="1"/>
  <c r="K172" i="6" a="1"/>
  <c r="K172" i="6" s="1"/>
  <c r="K173" i="6" a="1"/>
  <c r="K173" i="6" s="1"/>
  <c r="K174" i="6" a="1"/>
  <c r="K174" i="6"/>
  <c r="K175" i="6" a="1"/>
  <c r="K175" i="6" s="1"/>
  <c r="K176" i="6" a="1"/>
  <c r="K176" i="6" s="1"/>
  <c r="K177" i="6" a="1"/>
  <c r="K177" i="6" s="1"/>
  <c r="K178" i="6" a="1"/>
  <c r="K178" i="6" s="1"/>
  <c r="K179" i="6" a="1"/>
  <c r="K179" i="6" s="1"/>
  <c r="K180" i="6" a="1"/>
  <c r="K180" i="6"/>
  <c r="K181" i="6" a="1"/>
  <c r="K181" i="6" s="1"/>
  <c r="K182" i="6" a="1"/>
  <c r="K182" i="6" s="1"/>
  <c r="K183" i="6" a="1"/>
  <c r="K183" i="6" s="1"/>
  <c r="K184" i="6" a="1"/>
  <c r="K184" i="6" s="1"/>
  <c r="K185" i="6" a="1"/>
  <c r="K185" i="6" s="1"/>
  <c r="K186" i="6" a="1"/>
  <c r="K186" i="6" s="1"/>
  <c r="K187" i="6" a="1"/>
  <c r="K187" i="6" s="1"/>
  <c r="K188" i="6" a="1"/>
  <c r="K188" i="6" s="1"/>
  <c r="K189" i="6" a="1"/>
  <c r="K189" i="6" s="1"/>
  <c r="K190" i="6" a="1"/>
  <c r="K190" i="6" s="1"/>
  <c r="K191" i="6" a="1"/>
  <c r="K191" i="6" s="1"/>
  <c r="K192" i="6" a="1"/>
  <c r="K192" i="6"/>
  <c r="K193" i="6" a="1"/>
  <c r="K193" i="6" s="1"/>
  <c r="K194" i="6" a="1"/>
  <c r="K194" i="6" s="1"/>
  <c r="K195" i="6" a="1"/>
  <c r="K195" i="6" s="1"/>
  <c r="K196" i="6" a="1"/>
  <c r="K196" i="6" s="1"/>
  <c r="K197" i="6" a="1"/>
  <c r="K197" i="6" s="1"/>
  <c r="K198" i="6" a="1"/>
  <c r="K198" i="6" s="1"/>
  <c r="K199" i="6" a="1"/>
  <c r="K199" i="6" s="1"/>
  <c r="K200" i="6" a="1"/>
  <c r="K200" i="6"/>
  <c r="K201" i="6" a="1"/>
  <c r="K201" i="6" s="1"/>
  <c r="K202" i="6" a="1"/>
  <c r="K202" i="6" s="1"/>
  <c r="K203" i="6" a="1"/>
  <c r="K203" i="6" s="1"/>
  <c r="K204" i="6" a="1"/>
  <c r="K204" i="6" s="1"/>
  <c r="K205" i="6" a="1"/>
  <c r="K205" i="6" s="1"/>
  <c r="K206" i="6" a="1"/>
  <c r="K206" i="6"/>
  <c r="K207" i="6" a="1"/>
  <c r="K207" i="6" s="1"/>
  <c r="K208" i="6" a="1"/>
  <c r="K208" i="6" s="1"/>
  <c r="K209" i="6" a="1"/>
  <c r="K209" i="6" s="1"/>
  <c r="K210" i="6" a="1"/>
  <c r="K210" i="6" s="1"/>
  <c r="K211" i="6" a="1"/>
  <c r="K211" i="6" s="1"/>
  <c r="K212" i="6" a="1"/>
  <c r="K212" i="6"/>
  <c r="K213" i="6" a="1"/>
  <c r="K213" i="6" s="1"/>
  <c r="K214" i="6" a="1"/>
  <c r="K214" i="6" s="1"/>
  <c r="K215" i="6" a="1"/>
  <c r="K215" i="6" s="1"/>
  <c r="K216" i="6" a="1"/>
  <c r="K216" i="6" s="1"/>
  <c r="K217" i="6" a="1"/>
  <c r="K217" i="6" s="1"/>
  <c r="K218" i="6" a="1"/>
  <c r="K218" i="6" s="1"/>
  <c r="K219" i="6" a="1"/>
  <c r="K219" i="6" s="1"/>
  <c r="K220" i="6" a="1"/>
  <c r="K220" i="6" s="1"/>
  <c r="K221" i="6" a="1"/>
  <c r="K221" i="6" s="1"/>
  <c r="K222" i="6" a="1"/>
  <c r="K222" i="6" s="1"/>
  <c r="K223" i="6" a="1"/>
  <c r="K223" i="6" s="1"/>
  <c r="K224" i="6" a="1"/>
  <c r="K224" i="6" s="1"/>
  <c r="K225" i="6" a="1"/>
  <c r="K225" i="6" s="1"/>
  <c r="K226" i="6" a="1"/>
  <c r="K226" i="6" s="1"/>
  <c r="K227" i="6" a="1"/>
  <c r="K227" i="6" s="1"/>
  <c r="K228" i="6" a="1"/>
  <c r="K228" i="6" s="1"/>
  <c r="K229" i="6" a="1"/>
  <c r="K229" i="6" s="1"/>
  <c r="K230" i="6" a="1"/>
  <c r="K230" i="6"/>
  <c r="K231" i="6" a="1"/>
  <c r="K231" i="6" s="1"/>
  <c r="K232" i="6" a="1"/>
  <c r="K232" i="6" s="1"/>
  <c r="K233" i="6" a="1"/>
  <c r="K233" i="6" s="1"/>
  <c r="K234" i="6" a="1"/>
  <c r="K234" i="6"/>
  <c r="K235" i="6" a="1"/>
  <c r="K235" i="6" s="1"/>
  <c r="K236" i="6" a="1"/>
  <c r="K236" i="6" s="1"/>
  <c r="K237" i="6" a="1"/>
  <c r="K237" i="6" s="1"/>
  <c r="K238" i="6" a="1"/>
  <c r="K238" i="6" s="1"/>
  <c r="K239" i="6" a="1"/>
  <c r="K239" i="6" s="1"/>
  <c r="K240" i="6" a="1"/>
  <c r="K240" i="6" s="1"/>
  <c r="K241" i="6" a="1"/>
  <c r="K241" i="6"/>
  <c r="K242" i="6" a="1"/>
  <c r="K242" i="6" s="1"/>
  <c r="K243" i="6" a="1"/>
  <c r="K243" i="6" s="1"/>
  <c r="K244" i="6" a="1"/>
  <c r="K244" i="6" s="1"/>
  <c r="K245" i="6" a="1"/>
  <c r="K245" i="6" s="1"/>
  <c r="K246" i="6" a="1"/>
  <c r="K246" i="6" s="1"/>
  <c r="K247" i="6" a="1"/>
  <c r="K247" i="6" s="1"/>
  <c r="K248" i="6" a="1"/>
  <c r="K248" i="6" s="1"/>
  <c r="K249" i="6" a="1"/>
  <c r="K249" i="6" s="1"/>
  <c r="K250" i="6" a="1"/>
  <c r="K250" i="6" s="1"/>
  <c r="K251" i="6" a="1"/>
  <c r="K251" i="6" s="1"/>
  <c r="K252" i="6" a="1"/>
  <c r="K252" i="6" s="1"/>
  <c r="K253" i="6" a="1"/>
  <c r="K253" i="6" s="1"/>
  <c r="K254" i="6" a="1"/>
  <c r="K254" i="6"/>
  <c r="K255" i="6" a="1"/>
  <c r="K255" i="6" s="1"/>
  <c r="K256" i="6" a="1"/>
  <c r="K256" i="6" s="1"/>
  <c r="K257" i="6" a="1"/>
  <c r="K257" i="6" s="1"/>
  <c r="K258" i="6" a="1"/>
  <c r="K258" i="6" s="1"/>
  <c r="K259" i="6" a="1"/>
  <c r="K259" i="6" s="1"/>
  <c r="M3" i="4" l="1"/>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
    <bk>
      <extLst>
        <ext uri="{3e2802c4-a4d2-4d8b-9148-e3be6c30e623}">
          <xlrd:rvb i="0"/>
        </ext>
      </extLst>
    </bk>
    <bk>
      <extLst>
        <ext uri="{3e2802c4-a4d2-4d8b-9148-e3be6c30e623}">
          <xlrd:rvb i="1"/>
        </ext>
      </extLst>
    </bk>
    <bk>
      <extLst>
        <ext uri="{3e2802c4-a4d2-4d8b-9148-e3be6c30e623}">
          <xlrd:rvb i="26"/>
        </ext>
      </extLst>
    </bk>
    <bk>
      <extLst>
        <ext uri="{3e2802c4-a4d2-4d8b-9148-e3be6c30e623}">
          <xlrd:rvb i="29"/>
        </ext>
      </extLst>
    </bk>
    <bk>
      <extLst>
        <ext uri="{3e2802c4-a4d2-4d8b-9148-e3be6c30e623}">
          <xlrd:rvb i="100"/>
        </ext>
      </extLst>
    </bk>
    <bk>
      <extLst>
        <ext uri="{3e2802c4-a4d2-4d8b-9148-e3be6c30e623}">
          <xlrd:rvb i="103"/>
        </ext>
      </extLst>
    </bk>
    <bk>
      <extLst>
        <ext uri="{3e2802c4-a4d2-4d8b-9148-e3be6c30e623}">
          <xlrd:rvb i="173"/>
        </ext>
      </extLst>
    </bk>
    <bk>
      <extLst>
        <ext uri="{3e2802c4-a4d2-4d8b-9148-e3be6c30e623}">
          <xlrd:rvb i="175"/>
        </ext>
      </extLst>
    </bk>
    <bk>
      <extLst>
        <ext uri="{3e2802c4-a4d2-4d8b-9148-e3be6c30e623}">
          <xlrd:rvb i="242"/>
        </ext>
      </extLst>
    </bk>
    <bk>
      <extLst>
        <ext uri="{3e2802c4-a4d2-4d8b-9148-e3be6c30e623}">
          <xlrd:rvb i="246"/>
        </ext>
      </extLst>
    </bk>
    <bk>
      <extLst>
        <ext uri="{3e2802c4-a4d2-4d8b-9148-e3be6c30e623}">
          <xlrd:rvb i="322"/>
        </ext>
      </extLst>
    </bk>
    <bk>
      <extLst>
        <ext uri="{3e2802c4-a4d2-4d8b-9148-e3be6c30e623}">
          <xlrd:rvb i="325"/>
        </ext>
      </extLst>
    </bk>
    <bk>
      <extLst>
        <ext uri="{3e2802c4-a4d2-4d8b-9148-e3be6c30e623}">
          <xlrd:rvb i="525"/>
        </ext>
      </extLst>
    </bk>
    <bk>
      <extLst>
        <ext uri="{3e2802c4-a4d2-4d8b-9148-e3be6c30e623}">
          <xlrd:rvb i="528"/>
        </ext>
      </extLst>
    </bk>
    <bk>
      <extLst>
        <ext uri="{3e2802c4-a4d2-4d8b-9148-e3be6c30e623}">
          <xlrd:rvb i="589"/>
        </ext>
      </extLst>
    </bk>
    <bk>
      <extLst>
        <ext uri="{3e2802c4-a4d2-4d8b-9148-e3be6c30e623}">
          <xlrd:rvb i="591"/>
        </ext>
      </extLst>
    </bk>
    <bk>
      <extLst>
        <ext uri="{3e2802c4-a4d2-4d8b-9148-e3be6c30e623}">
          <xlrd:rvb i="625"/>
        </ext>
      </extLst>
    </bk>
    <bk>
      <extLst>
        <ext uri="{3e2802c4-a4d2-4d8b-9148-e3be6c30e623}">
          <xlrd:rvb i="627"/>
        </ext>
      </extLst>
    </bk>
    <bk>
      <extLst>
        <ext uri="{3e2802c4-a4d2-4d8b-9148-e3be6c30e623}">
          <xlrd:rvb i="658"/>
        </ext>
      </extLst>
    </bk>
    <bk>
      <extLst>
        <ext uri="{3e2802c4-a4d2-4d8b-9148-e3be6c30e623}">
          <xlrd:rvb i="660"/>
        </ext>
      </extLst>
    </bk>
  </futureMetadata>
  <futureMetadata name="XLDAPR" count="1">
    <bk>
      <extLst>
        <ext uri="{bdbb8cdc-fa1e-496e-a857-3c3f30c029c3}">
          <xda:dynamicArrayProperties fDynamic="1" fCollapsed="0"/>
        </ext>
      </extLst>
    </bk>
  </futureMetadata>
  <cellMetadata count="1">
    <bk>
      <rc t="2" v="0"/>
    </bk>
  </cell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<sst xmlns="http://schemas.openxmlformats.org/spreadsheetml/2006/main" count="3452" uniqueCount="69">
  <si>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</si>
  <si>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</si>
  <si>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</si>
  <si>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</si>
  <si>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</si>
  <si>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</si>
  <si>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</si>
  <si>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</si>
  <si>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</si>
  <si>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</si>
  <si>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</si>
  <si>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</si>
  <si>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</si>
  <si>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</si>
  <si>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</si>
  <si>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</si>
  <si>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</si>
  <si>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</si>
  <si>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</si>
  <si>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</si>
  <si>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</si>
  <si>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</si>
  <si>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</si>
  <si>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</si>
  <si>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</si>
  <si>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</si>
  <si>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</si>
  <si>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</si>
  <si>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</si>
  <si>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</si>
  <si>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</si>
  <si>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</si>
  <si>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</si>
  <si>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</si>
  <si>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</si>
  <si>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</si>
  <si>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</si>
  <si>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</si>
  <si>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</si>
  <si>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</si>
  <si>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</si>
  <si>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</si>
  <si>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</si>
  <si>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</si>
  <si>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</si>
  <si>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</si>
  <si>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</si>
  <si>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</si>
  <si>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</si>
  <si>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t>Quantity2</t>
  </si>
  <si>
    <t>Country/region</t>
  </si>
  <si>
    <t>Mean</t>
  </si>
  <si>
    <t>Standard Error</t>
  </si>
  <si>
    <t>Median</t>
  </si>
  <si>
    <t>Mode</t>
  </si>
  <si>
    <t>Standard Deviation</t>
  </si>
  <si>
    <t>Sample Variance</t>
  </si>
  <si>
    <t>Kurtosis</t>
  </si>
  <si>
    <t>Skewness</t>
  </si>
  <si>
    <t>Range</t>
  </si>
  <si>
    <t>Minimum</t>
  </si>
  <si>
    <t>Maximum</t>
  </si>
  <si>
    <t>Sum</t>
  </si>
  <si>
    <t>Count</t>
  </si>
  <si>
    <t>Row Labels</t>
  </si>
  <si>
    <t>Grand Total</t>
  </si>
  <si>
    <t>Sum of Quantity2</t>
  </si>
  <si>
    <t>Sum of Revenue</t>
  </si>
  <si>
    <t>Credit Card is major payment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</si>
</sst>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409]* #,##0_ ;_-[$$-409]* \-#,##0\ ;_-[$$-409]* &quot;-&quot;??_ ;_-@_ "/>
  </numFmts>
  <fonts count="9"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164" fontId="2" fillId="0" borderId="0" applyFont="0" applyFill="0" applyBorder="0" applyAlignment="0" applyProtection="0"/>
    <xf numFmtId="0" fontId="1" fillId="0" borderId="0"/>
    <xf numFmtId="0" fontId="8" fillId="0" borderId="0" applyNumberFormat="0" applyFill="0" applyBorder="0" applyAlignment="0" applyProtection="0"/>
  </cellStyleXfs>
  <cellXfs count="28">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2" fontId="0" fillId="0" borderId="0" xfId="0" applyNumberFormat="1" applyAlignment="1">
      <alignment horizontal="center"/>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5" fontId="0" fillId="0" borderId="0" xfId="1" applyNumberFormat="1" applyFont="1" applyAlignment="1">
      <alignment horizontal="center"/>
    </xf>
    <xf numFmtId="0" fontId="0" fillId="0" borderId="0" xfId="0" applyAlignment="1">
      <alignment horizontal="left"/>
    </xf>
    <xf numFmtId="166" fontId="0" fillId="0" borderId="0" xfId="0" applyNumberFormat="1"/>
    <xf numFmtId="0" fontId="4" fillId="0" borderId="2" xfId="0" applyFont="1" applyBorder="1" applyAlignment="1">
      <alignment horizontal="left"/>
    </xf>
    <xf numFmtId="166" fontId="4" fillId="0" borderId="2" xfId="0" applyNumberFormat="1" applyFont="1" applyBorder="1"/>
    <xf numFmtId="0" fontId="5" fillId="0" borderId="0" xfId="0" applyFont="1"/>
    <xf numFmtId="1" fontId="0" fillId="0" borderId="0" xfId="0" applyNumberFormat="1" applyAlignment="1">
      <alignment horizontal="center"/>
    </xf>
    <xf numFmtId="0" fontId="3" fillId="2" borderId="0" xfId="0" applyFont="1" applyFill="1" applyAlignment="1">
      <alignment horizontal="center"/>
    </xf>
    <xf numFmtId="0" fontId="0" fillId="0" borderId="0" xfId="0" applyFill="1" applyBorder="1" applyAlignment="1"/>
    <xf numFmtId="0" fontId="0" fillId="0" borderId="3" xfId="0" applyFill="1" applyBorder="1" applyAlignment="1"/>
    <xf numFmtId="0" fontId="7" fillId="0" borderId="4" xfId="0" applyFont="1" applyFill="1" applyBorder="1" applyAlignment="1">
      <alignment horizontal="centerContinuous"/>
    </xf>
    <xf numFmtId="0" fontId="0" fillId="0" borderId="0" xfId="0" pivotButton="1"/>
    <xf numFmtId="0" fontId="0" fillId="0" borderId="0" xfId="0" applyNumberFormat="1"/>
    <xf numFmtId="10" fontId="0" fillId="0" borderId="0" xfId="0" applyNumberFormat="1"/>
  </cellXfs>
  <cellStyles count="4">
    <cellStyle name="Comma" xfId="1" builtinId="3"/>
    <cellStyle name="Hyperlink 2 2" xfId="3" xr:uid="{F249171E-1D60-42F4-A03F-480C913218A3}"/>
    <cellStyle name="Normal" xfId="0" builtinId="0"/>
    <cellStyle name="Normal 2" xfId="2" xr:uid="{0CD8B2A8-DB45-4C19-8BF1-7AC1BB4A4279}"/>
  </cellStyles>
  <dxfs count="15">
    <dxf>
      <numFmt numFmtId="0" formatCode="General"/>
    </dxf>
    <dxf>
      <numFmt numFmtId="0" formatCode="General"/>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left"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0/07/relationships/rdRichValueWebImage" Target="richData/rdRichValueWebImage.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_xlchart.v1.1</cx:f>
      </cx:numDim>
    </cx:data>
  </cx:chartData>
  <cx:chart>
    <cx:title pos="t" align="ctr" overlay="0"/>
    <cx:plotArea>
      <cx:plotAreaRegion>
        <cx:series layoutId="boxWhisker" uniqueId="{C5561490-B93E-41FB-96B2-4F76CFA1941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13</xdr:col>
      <xdr:colOff>3810</xdr:colOff>
      <xdr:row>19</xdr:row>
      <xdr:rowOff>156210</xdr:rowOff>
    </xdr:from>
    <xdr:to>
      <xdr:col>18</xdr:col>
      <xdr:colOff>499110</xdr:colOff>
      <xdr:row>33</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144D438-60E6-3737-4C7A-41A1C0B01B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40490" y="39357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ikitha Kotla" refreshedDate="46060.902948958334" createdVersion="8" refreshedVersion="8" minRefreshableVersion="3" recordCount="257" xr:uid="{67D38B42-8B28-4CFA-B018-D22F9D10AE1A}">
  <cacheSource type="worksheet">
    <worksheetSource name="Table2"/>
  </cacheSource>
  <cacheFields count="11">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acheField>
    <cacheField name="Payment Method" numFmtId="0">
      <sharedItems count="3">
        <s v=" Gift Card"/>
        <s v=" Credit Card"/>
        <s v=" Cash"/>
      </sharedItems>
    </cacheField>
    <cacheField name="Manager" numFmtId="0">
      <sharedItems/>
    </cacheField>
    <cacheField name="Quantity2" numFmtId="0">
      <sharedItems containsSemiMixedTypes="0" containsString="0" containsNumber="1" containsInteger="1" minValue="201" maxValue="755"/>
    </cacheField>
    <cacheField name="City" numFmtId="0">
      <sharedItems/>
    </cacheField>
    <cacheField name="Country/region" numFmtId="0">
      <sharedItems/>
    </cacheField>
    <cacheField name="Revenue" numFmtId="0">
      <sharedItems containsSemiMixedTypes="0" containsString="0" containsNumber="1" minValue="1002.99" maxValue="22523.16" count="34">
        <n v="2003.2600000000002"/>
        <n v="2200.7000000000003"/>
        <n v="1002.99"/>
        <n v="7404.3"/>
        <n v="2009.8999999999999"/>
        <n v="7209.45"/>
        <n v="2000.1000000000001"/>
        <n v="2202.19"/>
        <n v="6806.76"/>
        <n v="6611.91"/>
        <n v="16090.5"/>
        <n v="22523.16"/>
        <n v="4309.4400000000005"/>
        <n v="14666.759999999998"/>
        <n v="5868.1"/>
        <n v="7001.61"/>
        <n v="2401.1200000000003"/>
        <n v="6209.22"/>
        <n v="6404.07"/>
        <n v="6001.38"/>
        <n v="5806.53"/>
        <n v="7612.14"/>
        <n v="2208.8999999999996"/>
        <n v="7806.99"/>
        <n v="8209.68"/>
        <n v="8404.5300000000007"/>
        <n v="8807.2199999999993"/>
        <n v="2407.8999999999996"/>
        <n v="2606.8999999999996"/>
        <n v="9002.07"/>
        <n v="2805.8999999999996"/>
        <n v="9404.76"/>
        <n v="3004.8999999999996"/>
        <n v="9807.4500000000007"/>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67D38B42-8B28-4CFA-B018-D22F9D10AE1A}"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d v="2022-11-07T00:00:00"/>
    <x v="0"/>
    <n v="3.49"/>
    <s v="Online "/>
    <x v="0"/>
    <s v="Tom Jackson"/>
    <n v="574"/>
    <s v="London"/>
    <s v="England"/>
    <x v="0"/>
  </r>
  <r>
    <n v="10453"/>
    <d v="2022-11-07T00:00:00"/>
    <x v="1"/>
    <n v="2.95"/>
    <s v="Online "/>
    <x v="0"/>
    <s v="Pablo Perez"/>
    <n v="746"/>
    <s v="Madrid"/>
    <s v="Spain"/>
    <x v="1"/>
  </r>
  <r>
    <n v="10454"/>
    <d v="2022-11-07T00:00:00"/>
    <x v="2"/>
    <n v="4.99"/>
    <s v="In-store "/>
    <x v="0"/>
    <s v="Joao Silva"/>
    <n v="201"/>
    <s v="Lisbon"/>
    <s v="Portugal"/>
    <x v="2"/>
  </r>
  <r>
    <n v="10455"/>
    <d v="2022-11-08T00:00:00"/>
    <x v="3"/>
    <n v="12.99"/>
    <s v="In-store "/>
    <x v="1"/>
    <s v="Walter Muller"/>
    <n v="570"/>
    <s v="Berlin"/>
    <s v="Germany"/>
    <x v="3"/>
  </r>
  <r>
    <n v="10456"/>
    <d v="2022-11-08T00:00:00"/>
    <x v="4"/>
    <n v="9.9499999999999993"/>
    <s v="In-store "/>
    <x v="1"/>
    <s v="Walter Muller"/>
    <n v="202"/>
    <s v="Berlin"/>
    <s v="Germany"/>
    <x v="4"/>
  </r>
  <r>
    <n v="10457"/>
    <d v="2022-11-08T00:00:00"/>
    <x v="0"/>
    <n v="3.49"/>
    <s v="In-store "/>
    <x v="1"/>
    <s v="Remy Monet"/>
    <n v="574"/>
    <s v="Paris"/>
    <s v="France"/>
    <x v="0"/>
  </r>
  <r>
    <n v="10459"/>
    <d v="2022-11-08T00:00:00"/>
    <x v="2"/>
    <n v="4.99"/>
    <s v="In-store "/>
    <x v="1"/>
    <s v="Walter Muller"/>
    <n v="201"/>
    <s v="Berlin"/>
    <s v="Germany"/>
    <x v="2"/>
  </r>
  <r>
    <n v="10460"/>
    <d v="2022-11-09T00:00:00"/>
    <x v="3"/>
    <n v="12.99"/>
    <s v="In-store "/>
    <x v="1"/>
    <s v="Remy Monet"/>
    <n v="555"/>
    <s v="Paris"/>
    <s v="France"/>
    <x v="5"/>
  </r>
  <r>
    <n v="10461"/>
    <d v="2022-11-09T00:00:00"/>
    <x v="4"/>
    <n v="9.9499999999999993"/>
    <s v="In-store "/>
    <x v="1"/>
    <s v="Remy Monet"/>
    <n v="202"/>
    <s v="Paris"/>
    <s v="France"/>
    <x v="4"/>
  </r>
  <r>
    <n v="10462"/>
    <d v="2022-11-09T00:00:00"/>
    <x v="0"/>
    <n v="3.49"/>
    <s v="In-store "/>
    <x v="1"/>
    <s v="Remy Monet"/>
    <n v="574"/>
    <s v="Paris"/>
    <s v="France"/>
    <x v="0"/>
  </r>
  <r>
    <n v="10463"/>
    <d v="2022-11-09T00:00:00"/>
    <x v="1"/>
    <n v="2.95"/>
    <s v="In-store "/>
    <x v="1"/>
    <s v="Remy Monet"/>
    <n v="678"/>
    <s v="Paris"/>
    <s v="France"/>
    <x v="6"/>
  </r>
  <r>
    <n v="10464"/>
    <d v="2022-11-09T00:00:00"/>
    <x v="2"/>
    <n v="4.99"/>
    <s v="In-store "/>
    <x v="1"/>
    <s v="Remy Monet"/>
    <n v="201"/>
    <s v="Paris"/>
    <s v="France"/>
    <x v="2"/>
  </r>
  <r>
    <n v="10465"/>
    <d v="2022-11-10T00:00:00"/>
    <x v="3"/>
    <n v="12.99"/>
    <s v="In-store "/>
    <x v="1"/>
    <s v="Pablo Perez"/>
    <n v="555"/>
    <s v="Madrid"/>
    <s v="Spain"/>
    <x v="5"/>
  </r>
  <r>
    <n v="10466"/>
    <d v="2022-11-10T00:00:00"/>
    <x v="4"/>
    <n v="9.9499999999999993"/>
    <s v="In-store "/>
    <x v="1"/>
    <s v="Pablo Perez"/>
    <n v="202"/>
    <s v="Madrid"/>
    <s v="Spain"/>
    <x v="4"/>
  </r>
  <r>
    <n v="10467"/>
    <d v="2022-11-10T00:00:00"/>
    <x v="0"/>
    <n v="3.49"/>
    <s v="In-store "/>
    <x v="1"/>
    <s v="Pablo Perez"/>
    <n v="574"/>
    <s v="Madrid"/>
    <s v="Spain"/>
    <x v="0"/>
  </r>
  <r>
    <n v="10468"/>
    <d v="2022-11-10T00:00:00"/>
    <x v="1"/>
    <n v="2.95"/>
    <s v="In-store "/>
    <x v="1"/>
    <s v="Pablo Perez"/>
    <n v="678"/>
    <s v="Madrid"/>
    <s v="Spain"/>
    <x v="6"/>
  </r>
  <r>
    <n v="10470"/>
    <d v="2022-11-11T00:00:00"/>
    <x v="3"/>
    <n v="12.99"/>
    <s v="In-store "/>
    <x v="1"/>
    <s v="Pablo Perez"/>
    <n v="555"/>
    <s v="Madrid"/>
    <s v="Spain"/>
    <x v="5"/>
  </r>
  <r>
    <n v="10471"/>
    <d v="2022-11-11T00:00:00"/>
    <x v="4"/>
    <n v="9.9499999999999993"/>
    <s v="In-store "/>
    <x v="1"/>
    <s v="Pablo Perez"/>
    <n v="202"/>
    <s v="Madrid"/>
    <s v="Spain"/>
    <x v="4"/>
  </r>
  <r>
    <n v="10472"/>
    <d v="2022-11-11T00:00:00"/>
    <x v="0"/>
    <n v="3.49"/>
    <s v="In-store "/>
    <x v="1"/>
    <s v="Pablo Perez"/>
    <n v="631"/>
    <s v="Madrid"/>
    <s v="Spain"/>
    <x v="7"/>
  </r>
  <r>
    <n v="10473"/>
    <d v="2022-11-11T00:00:00"/>
    <x v="1"/>
    <n v="2.95"/>
    <s v="In-store "/>
    <x v="1"/>
    <s v="Pablo Perez"/>
    <n v="678"/>
    <s v="Madrid"/>
    <s v="Spain"/>
    <x v="6"/>
  </r>
  <r>
    <n v="10474"/>
    <d v="2022-11-11T00:00:00"/>
    <x v="2"/>
    <n v="4.99"/>
    <s v="In-store "/>
    <x v="1"/>
    <s v="Pablo Perez"/>
    <n v="201"/>
    <s v="Madrid"/>
    <s v="Spain"/>
    <x v="2"/>
  </r>
  <r>
    <n v="10475"/>
    <d v="2022-11-12T00:00:00"/>
    <x v="3"/>
    <n v="12.99"/>
    <s v="In-store "/>
    <x v="1"/>
    <s v="Pablo Perez"/>
    <n v="524"/>
    <s v="Madrid"/>
    <s v="Spain"/>
    <x v="8"/>
  </r>
  <r>
    <n v="10476"/>
    <d v="2022-11-12T00:00:00"/>
    <x v="4"/>
    <n v="9.9499999999999993"/>
    <s v="In-store "/>
    <x v="1"/>
    <s v="Pablo Perez"/>
    <n v="202"/>
    <s v="Madrid"/>
    <s v="Spain"/>
    <x v="4"/>
  </r>
  <r>
    <n v="10477"/>
    <d v="2022-11-12T00:00:00"/>
    <x v="0"/>
    <n v="3.49"/>
    <s v="In-store "/>
    <x v="1"/>
    <s v="Pablo Perez"/>
    <n v="631"/>
    <s v="Madrid"/>
    <s v="Spain"/>
    <x v="7"/>
  </r>
  <r>
    <n v="10478"/>
    <d v="2022-11-12T00:00:00"/>
    <x v="1"/>
    <n v="2.95"/>
    <s v="In-store "/>
    <x v="1"/>
    <s v="Pablo Perez"/>
    <n v="678"/>
    <s v="Madrid"/>
    <s v="Spain"/>
    <x v="6"/>
  </r>
  <r>
    <n v="10479"/>
    <d v="2022-11-12T00:00:00"/>
    <x v="2"/>
    <n v="4.99"/>
    <s v="In-store "/>
    <x v="1"/>
    <s v="Pablo Perez"/>
    <n v="201"/>
    <s v="Madrid"/>
    <s v="Spain"/>
    <x v="2"/>
  </r>
  <r>
    <n v="10480"/>
    <d v="2022-11-13T00:00:00"/>
    <x v="3"/>
    <n v="12.99"/>
    <s v="In-store "/>
    <x v="1"/>
    <s v="Pablo Perez"/>
    <n v="509"/>
    <s v="Madrid"/>
    <s v="Spain"/>
    <x v="9"/>
  </r>
  <r>
    <n v="10481"/>
    <d v="2022-11-13T00:00:00"/>
    <x v="4"/>
    <n v="9.9499999999999993"/>
    <s v="In-store "/>
    <x v="1"/>
    <s v="Pablo Perez"/>
    <n v="202"/>
    <s v="Madrid"/>
    <s v="Spain"/>
    <x v="4"/>
  </r>
  <r>
    <n v="10482"/>
    <d v="2022-11-13T00:00:00"/>
    <x v="0"/>
    <n v="25.5"/>
    <s v="In-store "/>
    <x v="1"/>
    <s v="Joao Silva"/>
    <n v="631"/>
    <s v="Lisbon"/>
    <s v="Portugal"/>
    <x v="10"/>
  </r>
  <r>
    <n v="10483"/>
    <d v="2022-11-13T00:00:00"/>
    <x v="1"/>
    <n v="33.22"/>
    <s v="In-store "/>
    <x v="1"/>
    <s v="Joao Silva"/>
    <n v="678"/>
    <s v="Lisbon"/>
    <s v="Portugal"/>
    <x v="11"/>
  </r>
  <r>
    <n v="10484"/>
    <d v="2022-11-13T00:00:00"/>
    <x v="2"/>
    <n v="21.44"/>
    <s v="In-store "/>
    <x v="1"/>
    <s v="Joao Silva"/>
    <n v="201"/>
    <s v="Lisbon"/>
    <s v="Portugal"/>
    <x v="12"/>
  </r>
  <r>
    <n v="10485"/>
    <d v="2022-11-14T00:00:00"/>
    <x v="3"/>
    <n v="27.99"/>
    <s v="In-store "/>
    <x v="1"/>
    <s v="Joao Silva"/>
    <n v="524"/>
    <s v="Lisbon"/>
    <s v="Portugal"/>
    <x v="13"/>
  </r>
  <r>
    <n v="10486"/>
    <d v="2022-11-14T00:00:00"/>
    <x v="4"/>
    <n v="29.05"/>
    <s v="In-store "/>
    <x v="1"/>
    <s v="Joao Silva"/>
    <n v="202"/>
    <s v="Lisbon"/>
    <s v="Portugal"/>
    <x v="14"/>
  </r>
  <r>
    <n v="10487"/>
    <d v="2022-11-14T00:00:00"/>
    <x v="0"/>
    <n v="3.49"/>
    <s v="In-store "/>
    <x v="1"/>
    <s v="Joao Silva"/>
    <n v="631"/>
    <s v="Lisbon"/>
    <s v="Portugal"/>
    <x v="7"/>
  </r>
  <r>
    <n v="10488"/>
    <d v="2022-11-14T00:00:00"/>
    <x v="1"/>
    <n v="2.95"/>
    <s v="In-store "/>
    <x v="1"/>
    <s v="Joao Silva"/>
    <n v="678"/>
    <s v="Lisbon"/>
    <s v="Portugal"/>
    <x v="6"/>
  </r>
  <r>
    <n v="10489"/>
    <d v="2022-11-14T00:00:00"/>
    <x v="2"/>
    <n v="4.99"/>
    <s v="In-store "/>
    <x v="1"/>
    <s v="Pablo Perez"/>
    <n v="201"/>
    <s v="Madrid"/>
    <s v="Spain"/>
    <x v="2"/>
  </r>
  <r>
    <n v="10490"/>
    <d v="2022-11-15T00:00:00"/>
    <x v="3"/>
    <n v="12.99"/>
    <s v="In-store "/>
    <x v="1"/>
    <s v="Pablo Perez"/>
    <n v="509"/>
    <s v="Madrid"/>
    <s v="Spain"/>
    <x v="9"/>
  </r>
  <r>
    <n v="10491"/>
    <d v="2022-11-15T00:00:00"/>
    <x v="4"/>
    <n v="9.9499999999999993"/>
    <s v="In-store "/>
    <x v="1"/>
    <s v="Pablo Perez"/>
    <n v="202"/>
    <s v="Madrid"/>
    <s v="Spain"/>
    <x v="4"/>
  </r>
  <r>
    <n v="10492"/>
    <d v="2022-11-15T00:00:00"/>
    <x v="0"/>
    <n v="3.49"/>
    <s v="In-store "/>
    <x v="1"/>
    <s v="Pablo Perez"/>
    <n v="574"/>
    <s v="Madrid"/>
    <s v="Spain"/>
    <x v="0"/>
  </r>
  <r>
    <n v="10493"/>
    <d v="2022-11-15T00:00:00"/>
    <x v="1"/>
    <n v="2.95"/>
    <s v="In-store "/>
    <x v="1"/>
    <s v="Pablo Perez"/>
    <n v="678"/>
    <s v="Madrid"/>
    <s v="Spain"/>
    <x v="6"/>
  </r>
  <r>
    <n v="10494"/>
    <d v="2022-11-15T00:00:00"/>
    <x v="2"/>
    <n v="4.99"/>
    <s v="In-store "/>
    <x v="1"/>
    <s v="Pablo Perez"/>
    <n v="201"/>
    <s v="Madrid"/>
    <s v="Spain"/>
    <x v="2"/>
  </r>
  <r>
    <n v="10495"/>
    <d v="2022-11-16T00:00:00"/>
    <x v="3"/>
    <n v="12.99"/>
    <s v="In-store "/>
    <x v="1"/>
    <s v="Pablo Perez"/>
    <n v="509"/>
    <s v="Madrid"/>
    <s v="Spain"/>
    <x v="9"/>
  </r>
  <r>
    <n v="10496"/>
    <d v="2022-11-16T00:00:00"/>
    <x v="4"/>
    <n v="9.9499999999999993"/>
    <s v="In-store "/>
    <x v="1"/>
    <s v="Pablo Perez"/>
    <n v="202"/>
    <s v="Madrid"/>
    <s v="Spain"/>
    <x v="4"/>
  </r>
  <r>
    <n v="10497"/>
    <d v="2022-11-16T00:00:00"/>
    <x v="0"/>
    <n v="3.49"/>
    <s v="In-store "/>
    <x v="1"/>
    <s v="Pablo Perez"/>
    <n v="574"/>
    <s v="Madrid"/>
    <s v="Spain"/>
    <x v="0"/>
  </r>
  <r>
    <n v="10498"/>
    <d v="2022-11-16T00:00:00"/>
    <x v="1"/>
    <n v="2.95"/>
    <s v="Drive-thru "/>
    <x v="1"/>
    <s v="Pablo Perez"/>
    <n v="678"/>
    <s v="Madrid"/>
    <s v="Spain"/>
    <x v="6"/>
  </r>
  <r>
    <n v="10499"/>
    <d v="2022-11-16T00:00:00"/>
    <x v="2"/>
    <n v="4.99"/>
    <s v="Drive-thru "/>
    <x v="1"/>
    <s v="Pablo Perez"/>
    <n v="201"/>
    <s v="Madrid"/>
    <s v="Spain"/>
    <x v="2"/>
  </r>
  <r>
    <n v="10500"/>
    <d v="2022-11-17T00:00:00"/>
    <x v="3"/>
    <n v="12.99"/>
    <s v="Drive-thru "/>
    <x v="1"/>
    <s v="Pablo Perez"/>
    <n v="524"/>
    <s v="Madrid"/>
    <s v="Spain"/>
    <x v="8"/>
  </r>
  <r>
    <n v="10501"/>
    <d v="2022-11-17T00:00:00"/>
    <x v="4"/>
    <n v="9.9499999999999993"/>
    <s v="Drive-thru "/>
    <x v="1"/>
    <s v="Pablo Perez"/>
    <n v="202"/>
    <s v="Madrid"/>
    <s v="Spain"/>
    <x v="4"/>
  </r>
  <r>
    <n v="10502"/>
    <d v="2022-11-17T00:00:00"/>
    <x v="0"/>
    <n v="3.49"/>
    <s v="Drive-thru "/>
    <x v="1"/>
    <s v="Pablo Perez"/>
    <n v="631"/>
    <s v="Madrid"/>
    <s v="Spain"/>
    <x v="7"/>
  </r>
  <r>
    <n v="10503"/>
    <d v="2022-11-17T00:00:00"/>
    <x v="1"/>
    <n v="2.95"/>
    <s v="Drive-thru "/>
    <x v="1"/>
    <s v="Pablo Perez"/>
    <n v="678"/>
    <s v="Madrid"/>
    <s v="Spain"/>
    <x v="6"/>
  </r>
  <r>
    <n v="10504"/>
    <d v="2022-11-17T00:00:00"/>
    <x v="2"/>
    <n v="4.99"/>
    <s v="Drive-thru "/>
    <x v="1"/>
    <s v="Pablo Perez"/>
    <n v="201"/>
    <s v="Madrid"/>
    <s v="Spain"/>
    <x v="2"/>
  </r>
  <r>
    <n v="10505"/>
    <d v="2022-11-18T00:00:00"/>
    <x v="3"/>
    <n v="12.99"/>
    <s v="Drive-thru "/>
    <x v="1"/>
    <s v="Pablo Perez"/>
    <n v="539"/>
    <s v="Madrid"/>
    <s v="Spain"/>
    <x v="15"/>
  </r>
  <r>
    <n v="10506"/>
    <d v="2022-11-18T00:00:00"/>
    <x v="4"/>
    <n v="9.9499999999999993"/>
    <s v="Drive-thru "/>
    <x v="1"/>
    <s v="Pablo Perez"/>
    <n v="202"/>
    <s v="Madrid"/>
    <s v="Spain"/>
    <x v="4"/>
  </r>
  <r>
    <n v="10507"/>
    <d v="2022-11-18T00:00:00"/>
    <x v="0"/>
    <n v="3.49"/>
    <s v="Drive-thru "/>
    <x v="1"/>
    <s v="Pablo Perez"/>
    <n v="688"/>
    <s v="Madrid"/>
    <s v="Spain"/>
    <x v="16"/>
  </r>
  <r>
    <n v="10508"/>
    <d v="2022-11-18T00:00:00"/>
    <x v="1"/>
    <n v="2.95"/>
    <s v="Drive-thru "/>
    <x v="1"/>
    <s v="Pablo Perez"/>
    <n v="678"/>
    <s v="Madrid"/>
    <s v="Spain"/>
    <x v="6"/>
  </r>
  <r>
    <n v="10509"/>
    <d v="2022-11-18T00:00:00"/>
    <x v="2"/>
    <n v="4.99"/>
    <s v="Drive-thru "/>
    <x v="1"/>
    <s v="Pablo Perez"/>
    <n v="201"/>
    <s v="Madrid"/>
    <s v="Spain"/>
    <x v="2"/>
  </r>
  <r>
    <n v="10510"/>
    <d v="2022-11-19T00:00:00"/>
    <x v="3"/>
    <n v="12.99"/>
    <s v="Drive-thru "/>
    <x v="1"/>
    <s v="Pablo Perez"/>
    <n v="509"/>
    <s v="Madrid"/>
    <s v="Spain"/>
    <x v="9"/>
  </r>
  <r>
    <n v="10511"/>
    <d v="2022-11-19T00:00:00"/>
    <x v="4"/>
    <n v="9.9499999999999993"/>
    <s v="Drive-thru "/>
    <x v="1"/>
    <s v="Joao Silva"/>
    <n v="202"/>
    <s v="Lisbon"/>
    <s v="Portugal"/>
    <x v="4"/>
  </r>
  <r>
    <n v="10512"/>
    <d v="2022-11-19T00:00:00"/>
    <x v="0"/>
    <n v="3.49"/>
    <s v="Drive-thru "/>
    <x v="1"/>
    <s v="Joao Silva"/>
    <n v="688"/>
    <s v="Lisbon"/>
    <s v="Portugal"/>
    <x v="16"/>
  </r>
  <r>
    <n v="10513"/>
    <d v="2022-11-19T00:00:00"/>
    <x v="1"/>
    <n v="2.95"/>
    <s v="Drive-thru "/>
    <x v="2"/>
    <s v="Joao Silva"/>
    <n v="678"/>
    <s v="Lisbon"/>
    <s v="Portugal"/>
    <x v="6"/>
  </r>
  <r>
    <n v="10514"/>
    <d v="2022-11-19T00:00:00"/>
    <x v="2"/>
    <n v="4.99"/>
    <s v="Drive-thru "/>
    <x v="2"/>
    <s v="Joao Silva"/>
    <n v="201"/>
    <s v="Lisbon"/>
    <s v="Portugal"/>
    <x v="2"/>
  </r>
  <r>
    <n v="10515"/>
    <d v="2022-11-20T00:00:00"/>
    <x v="3"/>
    <n v="12.99"/>
    <s v="Drive-thru "/>
    <x v="2"/>
    <s v="Joao Silva"/>
    <n v="478"/>
    <s v="Lisbon"/>
    <s v="Portugal"/>
    <x v="17"/>
  </r>
  <r>
    <n v="10516"/>
    <d v="2022-11-20T00:00:00"/>
    <x v="4"/>
    <n v="9.9499999999999993"/>
    <s v="Drive-thru "/>
    <x v="2"/>
    <s v="Joao Silva"/>
    <n v="202"/>
    <s v="Lisbon"/>
    <s v="Portugal"/>
    <x v="4"/>
  </r>
  <r>
    <n v="10483"/>
    <d v="2022-11-13T00:00:00"/>
    <x v="1"/>
    <n v="2.95"/>
    <s v="In-store "/>
    <x v="1"/>
    <s v="Joao Silva"/>
    <n v="678"/>
    <s v="Lisbon"/>
    <s v="Portugal"/>
    <x v="6"/>
  </r>
  <r>
    <n v="10484"/>
    <d v="2022-11-13T00:00:00"/>
    <x v="2"/>
    <n v="4.99"/>
    <s v="In-store "/>
    <x v="1"/>
    <s v="Joao Silva"/>
    <n v="201"/>
    <s v="Lisbon"/>
    <s v="Portugal"/>
    <x v="2"/>
  </r>
  <r>
    <n v="10485"/>
    <d v="2022-11-14T00:00:00"/>
    <x v="3"/>
    <n v="12.99"/>
    <s v="In-store "/>
    <x v="1"/>
    <s v="Joao Silva"/>
    <n v="524"/>
    <s v="Lisbon"/>
    <s v="Portugal"/>
    <x v="8"/>
  </r>
  <r>
    <n v="10520"/>
    <d v="2022-11-21T00:00:00"/>
    <x v="3"/>
    <n v="12.99"/>
    <s v="Drive-thru "/>
    <x v="2"/>
    <s v="Remy Monet"/>
    <n v="493"/>
    <s v="Paris"/>
    <s v="France"/>
    <x v="18"/>
  </r>
  <r>
    <n v="10521"/>
    <d v="2022-11-21T00:00:00"/>
    <x v="4"/>
    <n v="9.9499999999999993"/>
    <s v="Drive-thru "/>
    <x v="2"/>
    <s v="Remy Monet"/>
    <n v="202"/>
    <s v="Paris"/>
    <s v="France"/>
    <x v="4"/>
  </r>
  <r>
    <n v="10522"/>
    <d v="2022-11-21T00:00:00"/>
    <x v="0"/>
    <n v="3.49"/>
    <s v="Drive-thru "/>
    <x v="2"/>
    <s v="Remy Monet"/>
    <n v="688"/>
    <s v="Paris"/>
    <s v="France"/>
    <x v="16"/>
  </r>
  <r>
    <n v="10523"/>
    <d v="2022-11-21T00:00:00"/>
    <x v="1"/>
    <n v="2.95"/>
    <s v="Drive-thru "/>
    <x v="2"/>
    <s v="Remy Monet"/>
    <n v="746"/>
    <s v="Paris"/>
    <s v="France"/>
    <x v="1"/>
  </r>
  <r>
    <n v="10524"/>
    <d v="2022-11-21T00:00:00"/>
    <x v="2"/>
    <n v="4.99"/>
    <s v="Drive-thru "/>
    <x v="2"/>
    <s v="Remy Monet"/>
    <n v="201"/>
    <s v="Paris"/>
    <s v="France"/>
    <x v="2"/>
  </r>
  <r>
    <n v="10525"/>
    <d v="2022-11-22T00:00:00"/>
    <x v="3"/>
    <n v="12.99"/>
    <s v="Drive-thru "/>
    <x v="2"/>
    <s v="Remy Monet"/>
    <n v="462"/>
    <s v="Paris"/>
    <s v="France"/>
    <x v="19"/>
  </r>
  <r>
    <n v="10526"/>
    <d v="2022-11-22T00:00:00"/>
    <x v="4"/>
    <n v="9.9499999999999993"/>
    <s v="Drive-thru "/>
    <x v="2"/>
    <s v="Remy Monet"/>
    <n v="202"/>
    <s v="Paris"/>
    <s v="France"/>
    <x v="4"/>
  </r>
  <r>
    <n v="10527"/>
    <d v="2022-11-22T00:00:00"/>
    <x v="0"/>
    <n v="3.49"/>
    <s v="Drive-thru "/>
    <x v="2"/>
    <s v="Remy Monet"/>
    <n v="688"/>
    <s v="Paris"/>
    <s v="France"/>
    <x v="16"/>
  </r>
  <r>
    <n v="10528"/>
    <d v="2022-11-22T00:00:00"/>
    <x v="1"/>
    <n v="2.95"/>
    <s v="Drive-thru "/>
    <x v="2"/>
    <s v="Remy Monet"/>
    <n v="746"/>
    <s v="Paris"/>
    <s v="France"/>
    <x v="1"/>
  </r>
  <r>
    <n v="10529"/>
    <d v="2022-11-22T00:00:00"/>
    <x v="2"/>
    <n v="4.99"/>
    <s v="Drive-thru "/>
    <x v="2"/>
    <s v="Remy Monet"/>
    <n v="201"/>
    <s v="Paris"/>
    <s v="France"/>
    <x v="2"/>
  </r>
  <r>
    <n v="10530"/>
    <d v="2022-11-23T00:00:00"/>
    <x v="3"/>
    <n v="12.99"/>
    <s v="Drive-thru "/>
    <x v="2"/>
    <s v="Remy Monet"/>
    <n v="478"/>
    <s v="Paris"/>
    <s v="France"/>
    <x v="17"/>
  </r>
  <r>
    <n v="10531"/>
    <d v="2022-11-23T00:00:00"/>
    <x v="4"/>
    <n v="9.9499999999999993"/>
    <s v="Drive-thru "/>
    <x v="2"/>
    <s v="Remy Monet"/>
    <n v="202"/>
    <s v="Paris"/>
    <s v="France"/>
    <x v="4"/>
  </r>
  <r>
    <n v="10532"/>
    <d v="2022-11-23T00:00:00"/>
    <x v="0"/>
    <n v="3.49"/>
    <s v="Drive-thru "/>
    <x v="2"/>
    <s v="Joao Silva"/>
    <n v="688"/>
    <s v="Lisbon"/>
    <s v="Portugal"/>
    <x v="16"/>
  </r>
  <r>
    <n v="10533"/>
    <d v="2022-11-23T00:00:00"/>
    <x v="1"/>
    <n v="2.95"/>
    <s v="Drive-thru "/>
    <x v="2"/>
    <s v="Joao Silva"/>
    <n v="746"/>
    <s v="Lisbon"/>
    <s v="Portugal"/>
    <x v="1"/>
  </r>
  <r>
    <n v="10534"/>
    <d v="2022-11-23T00:00:00"/>
    <x v="2"/>
    <n v="4.99"/>
    <s v="Drive-thru "/>
    <x v="2"/>
    <s v="Pablo Perez"/>
    <n v="201"/>
    <s v="Madrid"/>
    <s v="Spain"/>
    <x v="2"/>
  </r>
  <r>
    <n v="10535"/>
    <d v="2022-11-24T00:00:00"/>
    <x v="3"/>
    <n v="12.99"/>
    <s v="Drive-thru "/>
    <x v="1"/>
    <s v="Pablo Perez"/>
    <n v="478"/>
    <s v="Madrid"/>
    <s v="Spain"/>
    <x v="17"/>
  </r>
  <r>
    <n v="10536"/>
    <d v="2022-11-24T00:00:00"/>
    <x v="4"/>
    <n v="9.9499999999999993"/>
    <s v="Drive-thru "/>
    <x v="1"/>
    <s v="Pablo Perez"/>
    <n v="202"/>
    <s v="Madrid"/>
    <s v="Spain"/>
    <x v="4"/>
  </r>
  <r>
    <n v="10537"/>
    <d v="2022-11-24T00:00:00"/>
    <x v="0"/>
    <n v="3.49"/>
    <s v="Drive-thru "/>
    <x v="1"/>
    <s v="Pablo Perez"/>
    <n v="631"/>
    <s v="Madrid"/>
    <s v="Spain"/>
    <x v="7"/>
  </r>
  <r>
    <n v="10538"/>
    <d v="2022-11-24T00:00:00"/>
    <x v="1"/>
    <n v="2.95"/>
    <s v="Drive-thru "/>
    <x v="1"/>
    <s v="Pablo Perez"/>
    <n v="746"/>
    <s v="Madrid"/>
    <s v="Spain"/>
    <x v="1"/>
  </r>
  <r>
    <n v="10539"/>
    <d v="2022-11-24T00:00:00"/>
    <x v="2"/>
    <n v="4.99"/>
    <s v="Drive-thru "/>
    <x v="1"/>
    <s v="Pablo Perez"/>
    <n v="201"/>
    <s v="Madrid"/>
    <s v="Spain"/>
    <x v="2"/>
  </r>
  <r>
    <n v="10540"/>
    <d v="2022-11-25T00:00:00"/>
    <x v="3"/>
    <n v="12.99"/>
    <s v="Drive-thru "/>
    <x v="1"/>
    <s v="Pablo Perez"/>
    <n v="462"/>
    <s v="Madrid"/>
    <s v="Spain"/>
    <x v="19"/>
  </r>
  <r>
    <n v="10541"/>
    <d v="2022-11-25T00:00:00"/>
    <x v="4"/>
    <n v="9.9499999999999993"/>
    <s v="Drive-thru "/>
    <x v="1"/>
    <s v="Tom Jackson"/>
    <n v="202"/>
    <s v="London"/>
    <s v="England"/>
    <x v="4"/>
  </r>
  <r>
    <n v="10542"/>
    <d v="2022-11-25T00:00:00"/>
    <x v="0"/>
    <n v="3.49"/>
    <s v="Drive-thru "/>
    <x v="1"/>
    <s v="Tom Jackson"/>
    <n v="631"/>
    <s v="London"/>
    <s v="England"/>
    <x v="7"/>
  </r>
  <r>
    <n v="10543"/>
    <d v="2022-11-25T00:00:00"/>
    <x v="1"/>
    <n v="2.95"/>
    <s v="Drive-thru "/>
    <x v="1"/>
    <s v="Tom Jackson"/>
    <n v="746"/>
    <s v="London"/>
    <s v="England"/>
    <x v="1"/>
  </r>
  <r>
    <n v="10544"/>
    <d v="2022-11-25T00:00:00"/>
    <x v="2"/>
    <n v="4.99"/>
    <s v="Drive-thru "/>
    <x v="1"/>
    <s v="Tom Jackson"/>
    <n v="201"/>
    <s v="London"/>
    <s v="England"/>
    <x v="2"/>
  </r>
  <r>
    <n v="10545"/>
    <d v="2022-11-26T00:00:00"/>
    <x v="3"/>
    <n v="12.99"/>
    <s v="Drive-thru "/>
    <x v="1"/>
    <s v="Tom Jackson"/>
    <n v="447"/>
    <s v="London"/>
    <s v="England"/>
    <x v="20"/>
  </r>
  <r>
    <n v="10546"/>
    <d v="2022-11-26T00:00:00"/>
    <x v="4"/>
    <n v="9.9499999999999993"/>
    <s v="Drive-thru "/>
    <x v="1"/>
    <s v="Tom Jackson"/>
    <n v="202"/>
    <s v="London"/>
    <s v="England"/>
    <x v="4"/>
  </r>
  <r>
    <n v="10547"/>
    <d v="2022-11-26T00:00:00"/>
    <x v="0"/>
    <n v="3.49"/>
    <s v="Drive-thru "/>
    <x v="1"/>
    <s v="Tom Jackson"/>
    <n v="631"/>
    <s v="London"/>
    <s v="England"/>
    <x v="7"/>
  </r>
  <r>
    <n v="10548"/>
    <d v="2022-11-26T00:00:00"/>
    <x v="1"/>
    <n v="2.95"/>
    <s v="Drive-thru "/>
    <x v="1"/>
    <s v="Tom Jackson"/>
    <n v="746"/>
    <s v="London"/>
    <s v="England"/>
    <x v="1"/>
  </r>
  <r>
    <n v="10549"/>
    <d v="2022-11-26T00:00:00"/>
    <x v="2"/>
    <n v="4.99"/>
    <s v="Drive-thru "/>
    <x v="1"/>
    <s v="Tom Jackson"/>
    <n v="201"/>
    <s v="London"/>
    <s v="England"/>
    <x v="2"/>
  </r>
  <r>
    <n v="10550"/>
    <d v="2022-11-27T00:00:00"/>
    <x v="3"/>
    <n v="12.99"/>
    <s v="Drive-thru "/>
    <x v="1"/>
    <s v="Tom Jackson"/>
    <n v="462"/>
    <s v="London"/>
    <s v="England"/>
    <x v="19"/>
  </r>
  <r>
    <n v="10551"/>
    <d v="2022-11-27T00:00:00"/>
    <x v="4"/>
    <n v="9.9499999999999993"/>
    <s v="Drive-thru "/>
    <x v="1"/>
    <s v="Tom Jackson"/>
    <n v="202"/>
    <s v="London"/>
    <s v="England"/>
    <x v="4"/>
  </r>
  <r>
    <n v="10552"/>
    <d v="2022-11-27T00:00:00"/>
    <x v="0"/>
    <n v="3.49"/>
    <s v="Online "/>
    <x v="1"/>
    <s v="Tom Jackson"/>
    <n v="631"/>
    <s v="London"/>
    <s v="England"/>
    <x v="7"/>
  </r>
  <r>
    <n v="10553"/>
    <d v="2022-11-27T00:00:00"/>
    <x v="1"/>
    <n v="2.95"/>
    <s v="Online "/>
    <x v="1"/>
    <s v="Tom Jackson"/>
    <n v="746"/>
    <s v="London"/>
    <s v="England"/>
    <x v="1"/>
  </r>
  <r>
    <n v="10554"/>
    <d v="2022-11-27T00:00:00"/>
    <x v="2"/>
    <n v="4.99"/>
    <s v="Online "/>
    <x v="1"/>
    <s v="Tom Jackson"/>
    <n v="201"/>
    <s v="London"/>
    <s v="England"/>
    <x v="2"/>
  </r>
  <r>
    <n v="10555"/>
    <d v="2022-11-28T00:00:00"/>
    <x v="3"/>
    <n v="12.99"/>
    <s v="Online "/>
    <x v="1"/>
    <s v="Tom Jackson"/>
    <n v="478"/>
    <s v="London"/>
    <s v="England"/>
    <x v="17"/>
  </r>
  <r>
    <n v="10556"/>
    <d v="2022-11-28T00:00:00"/>
    <x v="4"/>
    <n v="9.9499999999999993"/>
    <s v="Online "/>
    <x v="1"/>
    <s v="Tom Jackson"/>
    <n v="202"/>
    <s v="London"/>
    <s v="England"/>
    <x v="4"/>
  </r>
  <r>
    <n v="10557"/>
    <d v="2022-11-28T00:00:00"/>
    <x v="0"/>
    <n v="3.49"/>
    <s v="Online "/>
    <x v="1"/>
    <s v="Tom Jackson"/>
    <n v="631"/>
    <s v="London"/>
    <s v="England"/>
    <x v="7"/>
  </r>
  <r>
    <n v="10558"/>
    <d v="2022-11-28T00:00:00"/>
    <x v="1"/>
    <n v="2.95"/>
    <s v="Online "/>
    <x v="1"/>
    <s v="Tom Jackson"/>
    <n v="678"/>
    <s v="London"/>
    <s v="England"/>
    <x v="6"/>
  </r>
  <r>
    <n v="10559"/>
    <d v="2022-11-28T00:00:00"/>
    <x v="2"/>
    <n v="4.99"/>
    <s v="Online "/>
    <x v="1"/>
    <s v="Tom Jackson"/>
    <n v="201"/>
    <s v="London"/>
    <s v="England"/>
    <x v="2"/>
  </r>
  <r>
    <n v="10560"/>
    <d v="2022-11-29T00:00:00"/>
    <x v="3"/>
    <n v="12.99"/>
    <s v="Online "/>
    <x v="1"/>
    <s v="Tom Jackson"/>
    <n v="478"/>
    <s v="London"/>
    <s v="England"/>
    <x v="17"/>
  </r>
  <r>
    <n v="10561"/>
    <d v="2022-11-29T00:00:00"/>
    <x v="4"/>
    <n v="9.9499999999999993"/>
    <s v="Online "/>
    <x v="1"/>
    <s v="Tom Jackson"/>
    <n v="202"/>
    <s v="London"/>
    <s v="England"/>
    <x v="4"/>
  </r>
  <r>
    <n v="10562"/>
    <d v="2022-11-29T00:00:00"/>
    <x v="0"/>
    <n v="3.49"/>
    <s v="Online "/>
    <x v="1"/>
    <s v="Tom Jackson"/>
    <n v="631"/>
    <s v="London"/>
    <s v="England"/>
    <x v="7"/>
  </r>
  <r>
    <n v="10563"/>
    <d v="2022-11-29T00:00:00"/>
    <x v="1"/>
    <n v="2.95"/>
    <s v="Online "/>
    <x v="1"/>
    <s v="Tom Jackson"/>
    <n v="678"/>
    <s v="London"/>
    <s v="England"/>
    <x v="6"/>
  </r>
  <r>
    <n v="10564"/>
    <d v="2022-11-29T00:00:00"/>
    <x v="2"/>
    <n v="4.99"/>
    <s v="Online "/>
    <x v="1"/>
    <s v="Tom Jackson"/>
    <n v="201"/>
    <s v="London"/>
    <s v="England"/>
    <x v="2"/>
  </r>
  <r>
    <n v="10565"/>
    <d v="2022-11-30T00:00:00"/>
    <x v="3"/>
    <n v="12.99"/>
    <s v="Online "/>
    <x v="1"/>
    <s v="Tom Jackson"/>
    <n v="493"/>
    <s v="London"/>
    <s v="England"/>
    <x v="18"/>
  </r>
  <r>
    <n v="10566"/>
    <d v="2022-11-30T00:00:00"/>
    <x v="4"/>
    <n v="9.9499999999999993"/>
    <s v="Online "/>
    <x v="1"/>
    <s v="Tom Jackson"/>
    <n v="202"/>
    <s v="London"/>
    <s v="England"/>
    <x v="4"/>
  </r>
  <r>
    <n v="10567"/>
    <d v="2022-11-30T00:00:00"/>
    <x v="0"/>
    <n v="3.49"/>
    <s v="Online "/>
    <x v="1"/>
    <s v="Tom Jackson"/>
    <n v="631"/>
    <s v="London"/>
    <s v="England"/>
    <x v="7"/>
  </r>
  <r>
    <n v="10568"/>
    <d v="2022-11-30T00:00:00"/>
    <x v="1"/>
    <n v="2.95"/>
    <s v="Online "/>
    <x v="1"/>
    <s v="Tom Jackson"/>
    <n v="678"/>
    <s v="London"/>
    <s v="England"/>
    <x v="6"/>
  </r>
  <r>
    <n v="10569"/>
    <d v="2022-11-30T00:00:00"/>
    <x v="2"/>
    <n v="4.99"/>
    <s v="Online "/>
    <x v="1"/>
    <s v="Tom Jackson"/>
    <n v="201"/>
    <s v="London"/>
    <s v="England"/>
    <x v="2"/>
  </r>
  <r>
    <n v="10570"/>
    <d v="2022-12-01T00:00:00"/>
    <x v="3"/>
    <n v="12.99"/>
    <s v="Online "/>
    <x v="1"/>
    <s v="Tom Jackson"/>
    <n v="493"/>
    <s v="London"/>
    <s v="England"/>
    <x v="18"/>
  </r>
  <r>
    <n v="10571"/>
    <d v="2022-12-01T00:00:00"/>
    <x v="4"/>
    <n v="9.9499999999999993"/>
    <s v="Online "/>
    <x v="1"/>
    <s v="Tom Jackson"/>
    <n v="202"/>
    <s v="London"/>
    <s v="England"/>
    <x v="4"/>
  </r>
  <r>
    <n v="10572"/>
    <d v="2022-12-01T00:00:00"/>
    <x v="0"/>
    <n v="3.49"/>
    <s v="Online "/>
    <x v="1"/>
    <s v="Remy Monet"/>
    <n v="574"/>
    <s v="Paris"/>
    <s v="France"/>
    <x v="0"/>
  </r>
  <r>
    <n v="10573"/>
    <d v="2022-12-01T00:00:00"/>
    <x v="1"/>
    <n v="2.95"/>
    <s v="Online "/>
    <x v="1"/>
    <s v="Remy Monet"/>
    <n v="678"/>
    <s v="Paris"/>
    <s v="France"/>
    <x v="6"/>
  </r>
  <r>
    <n v="10574"/>
    <d v="2022-12-01T00:00:00"/>
    <x v="2"/>
    <n v="4.99"/>
    <s v="Online "/>
    <x v="1"/>
    <s v="Remy Monet"/>
    <n v="201"/>
    <s v="Paris"/>
    <s v="France"/>
    <x v="2"/>
  </r>
  <r>
    <n v="10575"/>
    <d v="2022-12-02T00:00:00"/>
    <x v="3"/>
    <n v="12.99"/>
    <s v="Online "/>
    <x v="1"/>
    <s v="Remy Monet"/>
    <n v="524"/>
    <s v="Paris"/>
    <s v="France"/>
    <x v="8"/>
  </r>
  <r>
    <n v="10576"/>
    <d v="2022-12-02T00:00:00"/>
    <x v="4"/>
    <n v="9.9499999999999993"/>
    <s v="Online "/>
    <x v="1"/>
    <s v="Remy Monet"/>
    <n v="202"/>
    <s v="Paris"/>
    <s v="France"/>
    <x v="4"/>
  </r>
  <r>
    <n v="10577"/>
    <d v="2022-12-02T00:00:00"/>
    <x v="0"/>
    <n v="3.49"/>
    <s v="Online "/>
    <x v="1"/>
    <s v="Remy Monet"/>
    <n v="631"/>
    <s v="Paris"/>
    <s v="France"/>
    <x v="7"/>
  </r>
  <r>
    <n v="10578"/>
    <d v="2022-12-02T00:00:00"/>
    <x v="1"/>
    <n v="2.95"/>
    <s v="Online "/>
    <x v="1"/>
    <s v="Remy Monet"/>
    <n v="678"/>
    <s v="Paris"/>
    <s v="France"/>
    <x v="6"/>
  </r>
  <r>
    <n v="10579"/>
    <d v="2022-12-02T00:00:00"/>
    <x v="2"/>
    <n v="4.99"/>
    <s v="Online "/>
    <x v="1"/>
    <s v="Remy Monet"/>
    <n v="201"/>
    <s v="Paris"/>
    <s v="France"/>
    <x v="2"/>
  </r>
  <r>
    <n v="10580"/>
    <d v="2022-12-03T00:00:00"/>
    <x v="3"/>
    <n v="12.99"/>
    <s v="Online "/>
    <x v="1"/>
    <s v="Remy Monet"/>
    <n v="524"/>
    <s v="Paris"/>
    <s v="France"/>
    <x v="8"/>
  </r>
  <r>
    <n v="10581"/>
    <d v="2022-12-03T00:00:00"/>
    <x v="4"/>
    <n v="9.9499999999999993"/>
    <s v="Online "/>
    <x v="1"/>
    <s v="Remy Monet"/>
    <n v="202"/>
    <s v="Paris"/>
    <s v="France"/>
    <x v="4"/>
  </r>
  <r>
    <n v="10582"/>
    <d v="2022-12-03T00:00:00"/>
    <x v="0"/>
    <n v="3.49"/>
    <s v="Online "/>
    <x v="1"/>
    <s v="Tom Jackson"/>
    <n v="631"/>
    <s v="London"/>
    <s v="England"/>
    <x v="7"/>
  </r>
  <r>
    <n v="10583"/>
    <d v="2022-12-03T00:00:00"/>
    <x v="1"/>
    <n v="2.95"/>
    <s v="Online "/>
    <x v="1"/>
    <s v="Tom Jackson"/>
    <n v="678"/>
    <s v="London"/>
    <s v="England"/>
    <x v="6"/>
  </r>
  <r>
    <n v="10584"/>
    <d v="2022-12-03T00:00:00"/>
    <x v="2"/>
    <n v="4.99"/>
    <s v="Online "/>
    <x v="1"/>
    <s v="Tom Jackson"/>
    <n v="201"/>
    <s v="London"/>
    <s v="England"/>
    <x v="2"/>
  </r>
  <r>
    <n v="10585"/>
    <d v="2022-12-04T00:00:00"/>
    <x v="3"/>
    <n v="12.99"/>
    <s v="Online "/>
    <x v="1"/>
    <s v="Tom Jackson"/>
    <n v="539"/>
    <s v="London"/>
    <s v="England"/>
    <x v="15"/>
  </r>
  <r>
    <n v="10586"/>
    <d v="2022-12-04T00:00:00"/>
    <x v="4"/>
    <n v="9.9499999999999993"/>
    <s v="Online "/>
    <x v="1"/>
    <s v="Tom Jackson"/>
    <n v="202"/>
    <s v="London"/>
    <s v="England"/>
    <x v="4"/>
  </r>
  <r>
    <n v="10590"/>
    <d v="2022-12-05T00:00:00"/>
    <x v="3"/>
    <n v="12.99"/>
    <s v="Online "/>
    <x v="1"/>
    <s v="Tom Jackson"/>
    <n v="555"/>
    <s v="London"/>
    <s v="England"/>
    <x v="5"/>
  </r>
  <r>
    <n v="10591"/>
    <d v="2022-12-05T00:00:00"/>
    <x v="4"/>
    <n v="9.9499999999999993"/>
    <s v="Online "/>
    <x v="1"/>
    <s v="Tom Jackson"/>
    <n v="202"/>
    <s v="London"/>
    <s v="England"/>
    <x v="4"/>
  </r>
  <r>
    <n v="10592"/>
    <d v="2022-12-05T00:00:00"/>
    <x v="0"/>
    <n v="3.49"/>
    <s v="Online "/>
    <x v="1"/>
    <s v="Tom Jackson"/>
    <n v="574"/>
    <s v="London"/>
    <s v="England"/>
    <x v="0"/>
  </r>
  <r>
    <n v="10593"/>
    <d v="2022-12-05T00:00:00"/>
    <x v="1"/>
    <n v="2.95"/>
    <s v="Online "/>
    <x v="1"/>
    <s v="Tom Jackson"/>
    <n v="678"/>
    <s v="London"/>
    <s v="England"/>
    <x v="6"/>
  </r>
  <r>
    <n v="10594"/>
    <d v="2022-12-05T00:00:00"/>
    <x v="2"/>
    <n v="4.99"/>
    <s v="Online "/>
    <x v="1"/>
    <s v="Tom Jackson"/>
    <n v="201"/>
    <s v="London"/>
    <s v="England"/>
    <x v="2"/>
  </r>
  <r>
    <n v="10595"/>
    <d v="2022-12-06T00:00:00"/>
    <x v="3"/>
    <n v="12.99"/>
    <s v="Online "/>
    <x v="1"/>
    <s v="Tom Jackson"/>
    <n v="539"/>
    <s v="London"/>
    <s v="England"/>
    <x v="15"/>
  </r>
  <r>
    <n v="10596"/>
    <d v="2022-12-06T00:00:00"/>
    <x v="4"/>
    <n v="9.9499999999999993"/>
    <s v="Online "/>
    <x v="1"/>
    <s v="Tom Jackson"/>
    <n v="202"/>
    <s v="London"/>
    <s v="England"/>
    <x v="4"/>
  </r>
  <r>
    <n v="10597"/>
    <d v="2022-12-06T00:00:00"/>
    <x v="0"/>
    <n v="3.49"/>
    <s v="Online "/>
    <x v="1"/>
    <s v="Tom Jackson"/>
    <n v="574"/>
    <s v="London"/>
    <s v="England"/>
    <x v="0"/>
  </r>
  <r>
    <n v="10598"/>
    <d v="2022-12-06T00:00:00"/>
    <x v="1"/>
    <n v="2.95"/>
    <s v="Online "/>
    <x v="1"/>
    <s v="Tom Jackson"/>
    <n v="678"/>
    <s v="London"/>
    <s v="England"/>
    <x v="6"/>
  </r>
  <r>
    <n v="10599"/>
    <d v="2022-12-06T00:00:00"/>
    <x v="2"/>
    <n v="4.99"/>
    <s v="Online "/>
    <x v="1"/>
    <s v="Tom Jackson"/>
    <n v="201"/>
    <s v="London"/>
    <s v="England"/>
    <x v="2"/>
  </r>
  <r>
    <n v="10600"/>
    <d v="2022-12-07T00:00:00"/>
    <x v="3"/>
    <n v="12.99"/>
    <s v="Online "/>
    <x v="1"/>
    <s v="Tom Jackson"/>
    <n v="524"/>
    <s v="London"/>
    <s v="England"/>
    <x v="8"/>
  </r>
  <r>
    <n v="10601"/>
    <d v="2022-12-07T00:00:00"/>
    <x v="4"/>
    <n v="9.9499999999999993"/>
    <s v="Online "/>
    <x v="1"/>
    <s v="Tom Jackson"/>
    <n v="202"/>
    <s v="London"/>
    <s v="England"/>
    <x v="4"/>
  </r>
  <r>
    <n v="10602"/>
    <d v="2022-12-07T00:00:00"/>
    <x v="0"/>
    <n v="3.49"/>
    <s v="Online "/>
    <x v="2"/>
    <s v="Tom Jackson"/>
    <n v="631"/>
    <s v="London"/>
    <s v="England"/>
    <x v="7"/>
  </r>
  <r>
    <n v="10603"/>
    <d v="2022-12-07T00:00:00"/>
    <x v="1"/>
    <n v="2.95"/>
    <s v="Online "/>
    <x v="2"/>
    <s v="Tom Jackson"/>
    <n v="678"/>
    <s v="London"/>
    <s v="England"/>
    <x v="6"/>
  </r>
  <r>
    <n v="10604"/>
    <d v="2022-12-07T00:00:00"/>
    <x v="2"/>
    <n v="4.99"/>
    <s v="Online "/>
    <x v="2"/>
    <s v="Tom Jackson"/>
    <n v="201"/>
    <s v="London"/>
    <s v="England"/>
    <x v="2"/>
  </r>
  <r>
    <n v="10605"/>
    <d v="2022-12-08T00:00:00"/>
    <x v="3"/>
    <n v="12.99"/>
    <s v="Online "/>
    <x v="2"/>
    <s v="Tom Jackson"/>
    <n v="539"/>
    <s v="London"/>
    <s v="England"/>
    <x v="15"/>
  </r>
  <r>
    <n v="10606"/>
    <d v="2022-12-08T00:00:00"/>
    <x v="4"/>
    <n v="9.9499999999999993"/>
    <s v="Online "/>
    <x v="2"/>
    <s v="Tom Jackson"/>
    <n v="202"/>
    <s v="London"/>
    <s v="England"/>
    <x v="4"/>
  </r>
  <r>
    <n v="10607"/>
    <d v="2022-12-08T00:00:00"/>
    <x v="0"/>
    <n v="3.49"/>
    <s v="Online "/>
    <x v="2"/>
    <s v="Tom Jackson"/>
    <n v="631"/>
    <s v="London"/>
    <s v="England"/>
    <x v="7"/>
  </r>
  <r>
    <n v="10608"/>
    <d v="2022-12-08T00:00:00"/>
    <x v="1"/>
    <n v="2.95"/>
    <s v="Online "/>
    <x v="0"/>
    <s v="Tom Jackson"/>
    <n v="678"/>
    <s v="London"/>
    <s v="England"/>
    <x v="6"/>
  </r>
  <r>
    <n v="10609"/>
    <d v="2022-12-08T00:00:00"/>
    <x v="2"/>
    <n v="4.99"/>
    <s v="Online "/>
    <x v="0"/>
    <s v="Tom Jackson"/>
    <n v="201"/>
    <s v="London"/>
    <s v="England"/>
    <x v="2"/>
  </r>
  <r>
    <n v="10610"/>
    <d v="2022-12-09T00:00:00"/>
    <x v="3"/>
    <n v="12.99"/>
    <s v="Online "/>
    <x v="0"/>
    <s v="Tom Jackson"/>
    <n v="570"/>
    <s v="London"/>
    <s v="England"/>
    <x v="3"/>
  </r>
  <r>
    <n v="10611"/>
    <d v="2022-12-09T00:00:00"/>
    <x v="4"/>
    <n v="9.9499999999999993"/>
    <s v="Online "/>
    <x v="0"/>
    <s v="Tom Jackson"/>
    <n v="202"/>
    <s v="London"/>
    <s v="England"/>
    <x v="4"/>
  </r>
  <r>
    <n v="10612"/>
    <d v="2022-12-09T00:00:00"/>
    <x v="0"/>
    <n v="3.49"/>
    <s v="Online "/>
    <x v="0"/>
    <s v="Tom Jackson"/>
    <n v="631"/>
    <s v="London"/>
    <s v="England"/>
    <x v="7"/>
  </r>
  <r>
    <n v="10613"/>
    <d v="2022-12-09T00:00:00"/>
    <x v="1"/>
    <n v="2.95"/>
    <s v="Online "/>
    <x v="0"/>
    <s v="Tom Jackson"/>
    <n v="678"/>
    <s v="London"/>
    <s v="England"/>
    <x v="6"/>
  </r>
  <r>
    <n v="10614"/>
    <d v="2022-12-09T00:00:00"/>
    <x v="2"/>
    <n v="4.99"/>
    <s v="Online "/>
    <x v="0"/>
    <s v="Tom Jackson"/>
    <n v="201"/>
    <s v="London"/>
    <s v="England"/>
    <x v="2"/>
  </r>
  <r>
    <n v="10615"/>
    <d v="2022-12-10T00:00:00"/>
    <x v="3"/>
    <n v="12.99"/>
    <s v="Online "/>
    <x v="0"/>
    <s v="Tom Jackson"/>
    <n v="570"/>
    <s v="London"/>
    <s v="England"/>
    <x v="3"/>
  </r>
  <r>
    <n v="10616"/>
    <d v="2022-12-10T00:00:00"/>
    <x v="4"/>
    <n v="9.9499999999999993"/>
    <s v="Online "/>
    <x v="0"/>
    <s v="Tom Jackson"/>
    <n v="202"/>
    <s v="London"/>
    <s v="England"/>
    <x v="4"/>
  </r>
  <r>
    <n v="10617"/>
    <d v="2022-12-10T00:00:00"/>
    <x v="0"/>
    <n v="3.49"/>
    <s v="Online "/>
    <x v="0"/>
    <s v="Tom Jackson"/>
    <n v="631"/>
    <s v="London"/>
    <s v="England"/>
    <x v="7"/>
  </r>
  <r>
    <n v="10618"/>
    <d v="2022-12-10T00:00:00"/>
    <x v="1"/>
    <n v="2.95"/>
    <s v="Online "/>
    <x v="0"/>
    <s v="Tom Jackson"/>
    <n v="678"/>
    <s v="London"/>
    <s v="England"/>
    <x v="6"/>
  </r>
  <r>
    <n v="10619"/>
    <d v="2022-12-10T00:00:00"/>
    <x v="2"/>
    <n v="4.99"/>
    <s v="Online "/>
    <x v="0"/>
    <s v="Tom Jackson"/>
    <n v="201"/>
    <s v="London"/>
    <s v="England"/>
    <x v="2"/>
  </r>
  <r>
    <n v="10620"/>
    <d v="2022-12-11T00:00:00"/>
    <x v="3"/>
    <n v="12.99"/>
    <s v="Online "/>
    <x v="0"/>
    <s v="Tom Jackson"/>
    <n v="586"/>
    <s v="London"/>
    <s v="England"/>
    <x v="21"/>
  </r>
  <r>
    <n v="10621"/>
    <d v="2022-12-11T00:00:00"/>
    <x v="4"/>
    <n v="9.9499999999999993"/>
    <s v="Online "/>
    <x v="0"/>
    <s v="Tom Jackson"/>
    <n v="202"/>
    <s v="London"/>
    <s v="England"/>
    <x v="4"/>
  </r>
  <r>
    <n v="10622"/>
    <d v="2022-12-11T00:00:00"/>
    <x v="0"/>
    <n v="3.49"/>
    <s v="Online "/>
    <x v="0"/>
    <s v="Tom Jackson"/>
    <n v="631"/>
    <s v="London"/>
    <s v="England"/>
    <x v="7"/>
  </r>
  <r>
    <n v="10623"/>
    <d v="2022-12-11T00:00:00"/>
    <x v="1"/>
    <n v="2.95"/>
    <s v="Online "/>
    <x v="0"/>
    <s v="Tom Jackson"/>
    <n v="746"/>
    <s v="London"/>
    <s v="England"/>
    <x v="1"/>
  </r>
  <r>
    <n v="10624"/>
    <d v="2022-12-11T00:00:00"/>
    <x v="2"/>
    <n v="4.99"/>
    <s v="Online "/>
    <x v="0"/>
    <s v="Tom Jackson"/>
    <n v="201"/>
    <s v="London"/>
    <s v="England"/>
    <x v="2"/>
  </r>
  <r>
    <n v="10625"/>
    <d v="2022-12-12T00:00:00"/>
    <x v="3"/>
    <n v="12.99"/>
    <s v="Online "/>
    <x v="0"/>
    <s v="Tom Jackson"/>
    <n v="570"/>
    <s v="London"/>
    <s v="England"/>
    <x v="3"/>
  </r>
  <r>
    <n v="10626"/>
    <d v="2022-12-12T00:00:00"/>
    <x v="4"/>
    <n v="9.9499999999999993"/>
    <s v="Online "/>
    <x v="0"/>
    <s v="Tom Jackson"/>
    <n v="202"/>
    <s v="London"/>
    <s v="England"/>
    <x v="4"/>
  </r>
  <r>
    <n v="10627"/>
    <d v="2022-12-12T00:00:00"/>
    <x v="0"/>
    <n v="3.49"/>
    <s v="Online "/>
    <x v="0"/>
    <s v="Tom Jackson"/>
    <n v="631"/>
    <s v="London"/>
    <s v="England"/>
    <x v="7"/>
  </r>
  <r>
    <n v="10628"/>
    <d v="2022-12-12T00:00:00"/>
    <x v="1"/>
    <n v="2.95"/>
    <s v="Online "/>
    <x v="0"/>
    <s v="Joao Silva"/>
    <n v="678"/>
    <s v="Lisbon"/>
    <s v="Portugal"/>
    <x v="6"/>
  </r>
  <r>
    <n v="10629"/>
    <d v="2022-12-12T00:00:00"/>
    <x v="2"/>
    <n v="4.99"/>
    <s v="Online "/>
    <x v="0"/>
    <s v="Joao Silva"/>
    <n v="201"/>
    <s v="Lisbon"/>
    <s v="Portugal"/>
    <x v="2"/>
  </r>
  <r>
    <n v="10630"/>
    <d v="2022-12-13T00:00:00"/>
    <x v="3"/>
    <n v="12.99"/>
    <s v="Online "/>
    <x v="2"/>
    <s v="Joao Silva"/>
    <n v="570"/>
    <s v="Lisbon"/>
    <s v="Portugal"/>
    <x v="3"/>
  </r>
  <r>
    <n v="10631"/>
    <d v="2022-12-13T00:00:00"/>
    <x v="4"/>
    <n v="9.9499999999999993"/>
    <s v="Online "/>
    <x v="0"/>
    <s v="Joao Silva"/>
    <n v="202"/>
    <s v="Lisbon"/>
    <s v="Portugal"/>
    <x v="4"/>
  </r>
  <r>
    <n v="10632"/>
    <d v="2022-12-13T00:00:00"/>
    <x v="0"/>
    <n v="3.49"/>
    <s v="Online "/>
    <x v="0"/>
    <s v="Joao Silva"/>
    <n v="631"/>
    <s v="Lisbon"/>
    <s v="Portugal"/>
    <x v="7"/>
  </r>
  <r>
    <n v="10633"/>
    <d v="2022-12-13T00:00:00"/>
    <x v="1"/>
    <n v="2.95"/>
    <s v="Online "/>
    <x v="0"/>
    <s v="Joao Silva"/>
    <n v="678"/>
    <s v="Lisbon"/>
    <s v="Portugal"/>
    <x v="6"/>
  </r>
  <r>
    <n v="10634"/>
    <d v="2022-12-13T00:00:00"/>
    <x v="2"/>
    <n v="4.99"/>
    <s v="Online "/>
    <x v="0"/>
    <s v="Joao Silva"/>
    <n v="201"/>
    <s v="Lisbon"/>
    <s v="Portugal"/>
    <x v="2"/>
  </r>
  <r>
    <n v="10635"/>
    <d v="2022-12-14T00:00:00"/>
    <x v="3"/>
    <n v="12.99"/>
    <s v="Online "/>
    <x v="0"/>
    <s v="Joao Silva"/>
    <n v="555"/>
    <s v="Lisbon"/>
    <s v="Portugal"/>
    <x v="5"/>
  </r>
  <r>
    <n v="10636"/>
    <d v="2022-12-14T00:00:00"/>
    <x v="4"/>
    <n v="9.9499999999999993"/>
    <s v="Online "/>
    <x v="0"/>
    <s v="Joao Silva"/>
    <n v="222"/>
    <s v="Lisbon"/>
    <s v="Portugal"/>
    <x v="22"/>
  </r>
  <r>
    <n v="10637"/>
    <d v="2022-12-14T00:00:00"/>
    <x v="0"/>
    <n v="3.49"/>
    <s v="Online "/>
    <x v="0"/>
    <s v="Joao Silva"/>
    <n v="631"/>
    <s v="Lisbon"/>
    <s v="Portugal"/>
    <x v="7"/>
  </r>
  <r>
    <n v="10638"/>
    <d v="2022-12-14T00:00:00"/>
    <x v="1"/>
    <n v="2.95"/>
    <s v="Online "/>
    <x v="0"/>
    <s v="Joao Silva"/>
    <n v="678"/>
    <s v="Lisbon"/>
    <s v="Portugal"/>
    <x v="6"/>
  </r>
  <r>
    <n v="10639"/>
    <d v="2022-12-14T00:00:00"/>
    <x v="2"/>
    <n v="4.99"/>
    <s v="Online "/>
    <x v="0"/>
    <s v="Joao Silva"/>
    <n v="201"/>
    <s v="Lisbon"/>
    <s v="Portugal"/>
    <x v="2"/>
  </r>
  <r>
    <n v="10640"/>
    <d v="2022-12-15T00:00:00"/>
    <x v="3"/>
    <n v="12.99"/>
    <s v="Online "/>
    <x v="0"/>
    <s v="Joao Silva"/>
    <n v="539"/>
    <s v="Lisbon"/>
    <s v="Portugal"/>
    <x v="15"/>
  </r>
  <r>
    <n v="10641"/>
    <d v="2022-12-15T00:00:00"/>
    <x v="4"/>
    <n v="9.9499999999999993"/>
    <s v="Online "/>
    <x v="0"/>
    <s v="Joao Silva"/>
    <n v="222"/>
    <s v="Lisbon"/>
    <s v="Portugal"/>
    <x v="22"/>
  </r>
  <r>
    <n v="10642"/>
    <d v="2022-12-15T00:00:00"/>
    <x v="0"/>
    <n v="3.49"/>
    <s v="Online "/>
    <x v="2"/>
    <s v="Joao Silva"/>
    <n v="631"/>
    <s v="Lisbon"/>
    <s v="Portugal"/>
    <x v="7"/>
  </r>
  <r>
    <n v="10643"/>
    <d v="2022-12-15T00:00:00"/>
    <x v="1"/>
    <n v="2.95"/>
    <s v="Online "/>
    <x v="2"/>
    <s v="Joao Silva"/>
    <n v="678"/>
    <s v="Lisbon"/>
    <s v="Portugal"/>
    <x v="6"/>
  </r>
  <r>
    <n v="10644"/>
    <d v="2022-12-15T00:00:00"/>
    <x v="2"/>
    <n v="4.99"/>
    <s v="Online "/>
    <x v="2"/>
    <s v="Joao Silva"/>
    <n v="201"/>
    <s v="Lisbon"/>
    <s v="Portugal"/>
    <x v="2"/>
  </r>
  <r>
    <n v="10645"/>
    <d v="2022-12-16T00:00:00"/>
    <x v="3"/>
    <n v="12.99"/>
    <s v="Online "/>
    <x v="2"/>
    <s v="Joao Silva"/>
    <n v="570"/>
    <s v="Lisbon"/>
    <s v="Portugal"/>
    <x v="3"/>
  </r>
  <r>
    <n v="10646"/>
    <d v="2022-12-16T00:00:00"/>
    <x v="4"/>
    <n v="9.9499999999999993"/>
    <s v="Online "/>
    <x v="2"/>
    <s v="Joao Silva"/>
    <n v="222"/>
    <s v="Lisbon"/>
    <s v="Portugal"/>
    <x v="22"/>
  </r>
  <r>
    <n v="10647"/>
    <d v="2022-12-16T00:00:00"/>
    <x v="0"/>
    <n v="3.49"/>
    <s v="Online "/>
    <x v="0"/>
    <s v="Joao Silva"/>
    <n v="631"/>
    <s v="Lisbon"/>
    <s v="Portugal"/>
    <x v="7"/>
  </r>
  <r>
    <n v="10648"/>
    <d v="2022-12-16T00:00:00"/>
    <x v="1"/>
    <n v="2.95"/>
    <s v="Online "/>
    <x v="0"/>
    <s v="Joao Silva"/>
    <n v="746"/>
    <s v="Lisbon"/>
    <s v="Portugal"/>
    <x v="1"/>
  </r>
  <r>
    <n v="10649"/>
    <d v="2022-12-16T00:00:00"/>
    <x v="2"/>
    <n v="4.99"/>
    <s v="Online "/>
    <x v="0"/>
    <s v="Joao Silva"/>
    <n v="201"/>
    <s v="Lisbon"/>
    <s v="Portugal"/>
    <x v="2"/>
  </r>
  <r>
    <n v="10650"/>
    <d v="2022-12-17T00:00:00"/>
    <x v="3"/>
    <n v="12.99"/>
    <s v="Online "/>
    <x v="0"/>
    <s v="Joao Silva"/>
    <n v="586"/>
    <s v="Lisbon"/>
    <s v="Portugal"/>
    <x v="21"/>
  </r>
  <r>
    <n v="10651"/>
    <d v="2022-12-17T00:00:00"/>
    <x v="4"/>
    <n v="9.9499999999999993"/>
    <s v="Online "/>
    <x v="0"/>
    <s v="Joao Silva"/>
    <n v="222"/>
    <s v="Lisbon"/>
    <s v="Portugal"/>
    <x v="22"/>
  </r>
  <r>
    <n v="10652"/>
    <d v="2022-12-17T00:00:00"/>
    <x v="0"/>
    <n v="3.49"/>
    <s v="Online "/>
    <x v="0"/>
    <s v="Joao Silva"/>
    <n v="688"/>
    <s v="Lisbon"/>
    <s v="Portugal"/>
    <x v="16"/>
  </r>
  <r>
    <n v="10653"/>
    <d v="2022-12-17T00:00:00"/>
    <x v="1"/>
    <n v="2.95"/>
    <s v="Online "/>
    <x v="0"/>
    <s v="Joao Silva"/>
    <n v="746"/>
    <s v="Lisbon"/>
    <s v="Portugal"/>
    <x v="1"/>
  </r>
  <r>
    <n v="10654"/>
    <d v="2022-12-17T00:00:00"/>
    <x v="2"/>
    <n v="4.99"/>
    <s v="Online "/>
    <x v="0"/>
    <s v="Joao Silva"/>
    <n v="201"/>
    <s v="Lisbon"/>
    <s v="Portugal"/>
    <x v="2"/>
  </r>
  <r>
    <n v="10655"/>
    <d v="2022-12-18T00:00:00"/>
    <x v="3"/>
    <n v="12.99"/>
    <s v="Online "/>
    <x v="0"/>
    <s v="Joao Silva"/>
    <n v="601"/>
    <s v="Lisbon"/>
    <s v="Portugal"/>
    <x v="23"/>
  </r>
  <r>
    <n v="10656"/>
    <d v="2022-12-18T00:00:00"/>
    <x v="4"/>
    <n v="9.9499999999999993"/>
    <s v="Online "/>
    <x v="0"/>
    <s v="Joao Silva"/>
    <n v="222"/>
    <s v="Lisbon"/>
    <s v="Portugal"/>
    <x v="22"/>
  </r>
  <r>
    <n v="10657"/>
    <d v="2022-12-18T00:00:00"/>
    <x v="0"/>
    <n v="3.49"/>
    <s v="Online "/>
    <x v="0"/>
    <s v="Joao Silva"/>
    <n v="688"/>
    <s v="Lisbon"/>
    <s v="Portugal"/>
    <x v="16"/>
  </r>
  <r>
    <n v="10658"/>
    <d v="2022-12-18T00:00:00"/>
    <x v="1"/>
    <n v="2.95"/>
    <s v="Online "/>
    <x v="2"/>
    <s v="Joao Silva"/>
    <n v="746"/>
    <s v="Lisbon"/>
    <s v="Portugal"/>
    <x v="1"/>
  </r>
  <r>
    <n v="10659"/>
    <d v="2022-12-18T00:00:00"/>
    <x v="2"/>
    <n v="4.99"/>
    <s v="Online "/>
    <x v="2"/>
    <s v="Joao Silva"/>
    <n v="201"/>
    <s v="Lisbon"/>
    <s v="Portugal"/>
    <x v="2"/>
  </r>
  <r>
    <n v="10660"/>
    <d v="2022-12-19T00:00:00"/>
    <x v="3"/>
    <n v="12.99"/>
    <s v="In-store "/>
    <x v="2"/>
    <s v="Joao Silva"/>
    <n v="632"/>
    <s v="Lisbon"/>
    <s v="Portugal"/>
    <x v="24"/>
  </r>
  <r>
    <n v="10661"/>
    <d v="2022-12-19T00:00:00"/>
    <x v="4"/>
    <n v="9.9499999999999993"/>
    <s v="In-store "/>
    <x v="2"/>
    <s v="Joao Silva"/>
    <n v="222"/>
    <s v="Lisbon"/>
    <s v="Portugal"/>
    <x v="22"/>
  </r>
  <r>
    <n v="10662"/>
    <d v="2022-12-19T00:00:00"/>
    <x v="0"/>
    <n v="3.49"/>
    <s v="In-store "/>
    <x v="2"/>
    <s v="Joao Silva"/>
    <n v="631"/>
    <s v="Lisbon"/>
    <s v="Portugal"/>
    <x v="7"/>
  </r>
  <r>
    <n v="10663"/>
    <d v="2022-12-19T00:00:00"/>
    <x v="1"/>
    <n v="2.95"/>
    <s v="In-store "/>
    <x v="2"/>
    <s v="Joao Silva"/>
    <n v="746"/>
    <s v="Lisbon"/>
    <s v="Portugal"/>
    <x v="1"/>
  </r>
  <r>
    <n v="10664"/>
    <d v="2022-12-19T00:00:00"/>
    <x v="2"/>
    <n v="4.99"/>
    <s v="In-store "/>
    <x v="2"/>
    <s v="Joao Silva"/>
    <n v="201"/>
    <s v="Lisbon"/>
    <s v="Portugal"/>
    <x v="2"/>
  </r>
  <r>
    <n v="10665"/>
    <d v="2022-12-20T00:00:00"/>
    <x v="3"/>
    <n v="12.99"/>
    <s v="In-store "/>
    <x v="2"/>
    <s v="Joao Silva"/>
    <n v="647"/>
    <s v="Lisbon"/>
    <s v="Portugal"/>
    <x v="25"/>
  </r>
  <r>
    <n v="10666"/>
    <d v="2022-12-20T00:00:00"/>
    <x v="4"/>
    <n v="9.9499999999999993"/>
    <s v="In-store "/>
    <x v="2"/>
    <s v="Joao Silva"/>
    <n v="222"/>
    <s v="Lisbon"/>
    <s v="Portugal"/>
    <x v="22"/>
  </r>
  <r>
    <n v="10667"/>
    <d v="2022-12-20T00:00:00"/>
    <x v="0"/>
    <n v="3.49"/>
    <s v="In-store "/>
    <x v="2"/>
    <s v="Joao Silva"/>
    <n v="631"/>
    <s v="Lisbon"/>
    <s v="Portugal"/>
    <x v="7"/>
  </r>
  <r>
    <n v="10668"/>
    <d v="2022-12-20T00:00:00"/>
    <x v="1"/>
    <n v="2.95"/>
    <s v="In-store "/>
    <x v="2"/>
    <s v="Joao Silva"/>
    <n v="746"/>
    <s v="Lisbon"/>
    <s v="Portugal"/>
    <x v="1"/>
  </r>
  <r>
    <n v="10669"/>
    <d v="2022-12-20T00:00:00"/>
    <x v="2"/>
    <n v="4.99"/>
    <s v="In-store "/>
    <x v="2"/>
    <s v="Joao Silva"/>
    <n v="201"/>
    <s v="Lisbon"/>
    <s v="Portugal"/>
    <x v="2"/>
  </r>
  <r>
    <n v="10670"/>
    <d v="2022-12-21T00:00:00"/>
    <x v="3"/>
    <n v="12.99"/>
    <s v="In-store "/>
    <x v="2"/>
    <s v="Joao Silva"/>
    <n v="678"/>
    <s v="Lisbon"/>
    <s v="Portugal"/>
    <x v="26"/>
  </r>
  <r>
    <n v="10671"/>
    <d v="2022-12-21T00:00:00"/>
    <x v="4"/>
    <n v="9.9499999999999993"/>
    <s v="In-store "/>
    <x v="2"/>
    <s v="Joao Silva"/>
    <n v="222"/>
    <s v="Lisbon"/>
    <s v="Portugal"/>
    <x v="22"/>
  </r>
  <r>
    <n v="10672"/>
    <d v="2022-12-21T00:00:00"/>
    <x v="0"/>
    <n v="3.49"/>
    <s v="In-store "/>
    <x v="2"/>
    <s v="Joao Silva"/>
    <n v="631"/>
    <s v="Lisbon"/>
    <s v="Portugal"/>
    <x v="7"/>
  </r>
  <r>
    <n v="10673"/>
    <d v="2022-12-21T00:00:00"/>
    <x v="1"/>
    <n v="2.95"/>
    <s v="In-store "/>
    <x v="2"/>
    <s v="Joao Silva"/>
    <n v="746"/>
    <s v="Lisbon"/>
    <s v="Portugal"/>
    <x v="1"/>
  </r>
  <r>
    <n v="10674"/>
    <d v="2022-12-21T00:00:00"/>
    <x v="2"/>
    <n v="4.99"/>
    <s v="In-store "/>
    <x v="2"/>
    <s v="Joao Silva"/>
    <n v="201"/>
    <s v="Lisbon"/>
    <s v="Portugal"/>
    <x v="2"/>
  </r>
  <r>
    <n v="10675"/>
    <d v="2022-12-22T00:00:00"/>
    <x v="3"/>
    <n v="12.99"/>
    <s v="In-store "/>
    <x v="2"/>
    <s v="Joao Silva"/>
    <n v="678"/>
    <s v="Lisbon"/>
    <s v="Portugal"/>
    <x v="26"/>
  </r>
  <r>
    <n v="10676"/>
    <d v="2022-12-22T00:00:00"/>
    <x v="4"/>
    <n v="9.9499999999999993"/>
    <s v="In-store "/>
    <x v="2"/>
    <s v="Joao Silva"/>
    <n v="242"/>
    <s v="Lisbon"/>
    <s v="Portugal"/>
    <x v="27"/>
  </r>
  <r>
    <n v="10677"/>
    <d v="2022-12-22T00:00:00"/>
    <x v="0"/>
    <n v="3.49"/>
    <s v="In-store "/>
    <x v="2"/>
    <s v="Joao Silva"/>
    <n v="631"/>
    <s v="Lisbon"/>
    <s v="Portugal"/>
    <x v="7"/>
  </r>
  <r>
    <n v="10678"/>
    <d v="2022-12-22T00:00:00"/>
    <x v="1"/>
    <n v="2.95"/>
    <s v="In-store "/>
    <x v="2"/>
    <s v="Joao Silva"/>
    <n v="746"/>
    <s v="Lisbon"/>
    <s v="Portugal"/>
    <x v="1"/>
  </r>
  <r>
    <n v="10679"/>
    <d v="2022-12-22T00:00:00"/>
    <x v="2"/>
    <n v="4.99"/>
    <s v="In-store "/>
    <x v="2"/>
    <s v="Joao Silva"/>
    <n v="201"/>
    <s v="Lisbon"/>
    <s v="Portugal"/>
    <x v="2"/>
  </r>
  <r>
    <n v="10680"/>
    <d v="2022-12-23T00:00:00"/>
    <x v="3"/>
    <n v="12.99"/>
    <s v="In-store "/>
    <x v="2"/>
    <s v="Joao Silva"/>
    <n v="647"/>
    <s v="Lisbon"/>
    <s v="Portugal"/>
    <x v="25"/>
  </r>
  <r>
    <n v="10681"/>
    <d v="2022-12-23T00:00:00"/>
    <x v="4"/>
    <n v="9.9499999999999993"/>
    <s v="In-store "/>
    <x v="2"/>
    <s v="Joao Silva"/>
    <n v="242"/>
    <s v="Lisbon"/>
    <s v="Portugal"/>
    <x v="27"/>
  </r>
  <r>
    <n v="10682"/>
    <d v="2022-12-23T00:00:00"/>
    <x v="0"/>
    <n v="3.49"/>
    <s v="In-store "/>
    <x v="2"/>
    <s v="Joao Silva"/>
    <n v="631"/>
    <s v="Lisbon"/>
    <s v="Portugal"/>
    <x v="7"/>
  </r>
  <r>
    <n v="10683"/>
    <d v="2022-12-23T00:00:00"/>
    <x v="1"/>
    <n v="2.95"/>
    <s v="In-store "/>
    <x v="2"/>
    <s v="Joao Silva"/>
    <n v="678"/>
    <s v="Lisbon"/>
    <s v="Portugal"/>
    <x v="6"/>
  </r>
  <r>
    <n v="10684"/>
    <d v="2022-12-23T00:00:00"/>
    <x v="2"/>
    <n v="4.99"/>
    <s v="In-store "/>
    <x v="2"/>
    <s v="Joao Silva"/>
    <n v="201"/>
    <s v="Lisbon"/>
    <s v="Portugal"/>
    <x v="2"/>
  </r>
  <r>
    <n v="10685"/>
    <d v="2022-12-24T00:00:00"/>
    <x v="3"/>
    <n v="12.99"/>
    <s v="In-store "/>
    <x v="2"/>
    <s v="Joao Silva"/>
    <n v="678"/>
    <s v="Lisbon"/>
    <s v="Portugal"/>
    <x v="26"/>
  </r>
  <r>
    <n v="10686"/>
    <d v="2022-12-24T00:00:00"/>
    <x v="4"/>
    <n v="9.9499999999999993"/>
    <s v="In-store "/>
    <x v="2"/>
    <s v="Joao Silva"/>
    <n v="242"/>
    <s v="Lisbon"/>
    <s v="Portugal"/>
    <x v="27"/>
  </r>
  <r>
    <n v="10687"/>
    <d v="2022-12-24T00:00:00"/>
    <x v="0"/>
    <n v="3.49"/>
    <s v="In-store "/>
    <x v="2"/>
    <s v="Walter Muller"/>
    <n v="631"/>
    <s v="Berlin"/>
    <s v="Germany"/>
    <x v="7"/>
  </r>
  <r>
    <n v="10688"/>
    <d v="2022-12-24T00:00:00"/>
    <x v="1"/>
    <n v="2.95"/>
    <s v="In-store "/>
    <x v="2"/>
    <s v="Walter Muller"/>
    <n v="678"/>
    <s v="Berlin"/>
    <s v="Germany"/>
    <x v="6"/>
  </r>
  <r>
    <n v="10689"/>
    <d v="2022-12-24T00:00:00"/>
    <x v="2"/>
    <n v="4.99"/>
    <s v="In-store "/>
    <x v="2"/>
    <s v="Walter Muller"/>
    <n v="201"/>
    <s v="Berlin"/>
    <s v="Germany"/>
    <x v="2"/>
  </r>
  <r>
    <n v="10690"/>
    <d v="2022-12-25T00:00:00"/>
    <x v="3"/>
    <n v="12.99"/>
    <s v="In-store "/>
    <x v="2"/>
    <s v="Walter Muller"/>
    <n v="678"/>
    <s v="Berlin"/>
    <s v="Germany"/>
    <x v="26"/>
  </r>
  <r>
    <n v="10691"/>
    <d v="2022-12-25T00:00:00"/>
    <x v="4"/>
    <n v="9.9499999999999993"/>
    <s v="In-store "/>
    <x v="2"/>
    <s v="Walter Muller"/>
    <n v="262"/>
    <s v="Berlin"/>
    <s v="Germany"/>
    <x v="28"/>
  </r>
  <r>
    <n v="10692"/>
    <d v="2022-12-25T00:00:00"/>
    <x v="0"/>
    <n v="3.49"/>
    <s v="In-store "/>
    <x v="2"/>
    <s v="Walter Muller"/>
    <n v="631"/>
    <s v="Berlin"/>
    <s v="Germany"/>
    <x v="7"/>
  </r>
  <r>
    <n v="10693"/>
    <d v="2022-12-25T00:00:00"/>
    <x v="1"/>
    <n v="2.95"/>
    <s v="In-store "/>
    <x v="2"/>
    <s v="Walter Muller"/>
    <n v="678"/>
    <s v="Berlin"/>
    <s v="Germany"/>
    <x v="6"/>
  </r>
  <r>
    <n v="10694"/>
    <d v="2022-12-25T00:00:00"/>
    <x v="2"/>
    <n v="4.99"/>
    <s v="In-store "/>
    <x v="2"/>
    <s v="Walter Muller"/>
    <n v="201"/>
    <s v="Berlin"/>
    <s v="Germany"/>
    <x v="2"/>
  </r>
  <r>
    <n v="10695"/>
    <d v="2022-12-26T00:00:00"/>
    <x v="3"/>
    <n v="12.99"/>
    <s v="In-store "/>
    <x v="2"/>
    <s v="Walter Muller"/>
    <n v="693"/>
    <s v="Berlin"/>
    <s v="Germany"/>
    <x v="29"/>
  </r>
  <r>
    <n v="10696"/>
    <d v="2022-12-26T00:00:00"/>
    <x v="4"/>
    <n v="9.9499999999999993"/>
    <s v="In-store "/>
    <x v="2"/>
    <s v="Walter Muller"/>
    <n v="282"/>
    <s v="Berlin"/>
    <s v="Germany"/>
    <x v="30"/>
  </r>
  <r>
    <n v="10697"/>
    <d v="2022-12-26T00:00:00"/>
    <x v="0"/>
    <n v="3.49"/>
    <s v="In-store "/>
    <x v="2"/>
    <s v="Walter Muller"/>
    <n v="631"/>
    <s v="Berlin"/>
    <s v="Germany"/>
    <x v="7"/>
  </r>
  <r>
    <n v="10698"/>
    <d v="2022-12-26T00:00:00"/>
    <x v="1"/>
    <n v="2.95"/>
    <s v="In-store "/>
    <x v="2"/>
    <s v="Walter Muller"/>
    <n v="678"/>
    <s v="Berlin"/>
    <s v="Germany"/>
    <x v="6"/>
  </r>
  <r>
    <n v="10699"/>
    <d v="2022-12-26T00:00:00"/>
    <x v="2"/>
    <n v="4.99"/>
    <s v="In-store "/>
    <x v="2"/>
    <s v="Walter Muller"/>
    <n v="201"/>
    <s v="Berlin"/>
    <s v="Germany"/>
    <x v="2"/>
  </r>
  <r>
    <n v="10700"/>
    <d v="2022-12-27T00:00:00"/>
    <x v="3"/>
    <n v="12.99"/>
    <s v="In-store "/>
    <x v="2"/>
    <s v="Walter Muller"/>
    <n v="693"/>
    <s v="Berlin"/>
    <s v="Germany"/>
    <x v="29"/>
  </r>
  <r>
    <n v="10701"/>
    <d v="2022-12-27T00:00:00"/>
    <x v="4"/>
    <n v="9.9499999999999993"/>
    <s v="In-store "/>
    <x v="2"/>
    <s v="Walter Muller"/>
    <n v="282"/>
    <s v="Berlin"/>
    <s v="Germany"/>
    <x v="30"/>
  </r>
  <r>
    <n v="10702"/>
    <d v="2022-12-27T00:00:00"/>
    <x v="0"/>
    <n v="3.49"/>
    <s v="In-store "/>
    <x v="2"/>
    <s v="Walter Muller"/>
    <n v="631"/>
    <s v="Berlin"/>
    <s v="Germany"/>
    <x v="7"/>
  </r>
  <r>
    <n v="10703"/>
    <d v="2022-12-27T00:00:00"/>
    <x v="1"/>
    <n v="2.95"/>
    <s v="In-store "/>
    <x v="0"/>
    <s v="Walter Muller"/>
    <n v="678"/>
    <s v="Berlin"/>
    <s v="Germany"/>
    <x v="6"/>
  </r>
  <r>
    <n v="10704"/>
    <d v="2022-12-27T00:00:00"/>
    <x v="2"/>
    <n v="4.99"/>
    <s v="Drive-thru "/>
    <x v="0"/>
    <s v="Walter Muller"/>
    <n v="201"/>
    <s v="Berlin"/>
    <s v="Germany"/>
    <x v="2"/>
  </r>
  <r>
    <n v="10705"/>
    <d v="2022-12-28T00:00:00"/>
    <x v="3"/>
    <n v="12.99"/>
    <s v="Drive-thru "/>
    <x v="0"/>
    <s v="Walter Muller"/>
    <n v="724"/>
    <s v="Berlin"/>
    <s v="Germany"/>
    <x v="31"/>
  </r>
  <r>
    <n v="10706"/>
    <d v="2022-12-28T00:00:00"/>
    <x v="4"/>
    <n v="9.9499999999999993"/>
    <s v="Drive-thru "/>
    <x v="0"/>
    <s v="Walter Muller"/>
    <n v="302"/>
    <s v="Berlin"/>
    <s v="Germany"/>
    <x v="32"/>
  </r>
  <r>
    <n v="10707"/>
    <d v="2022-12-28T00:00:00"/>
    <x v="0"/>
    <n v="3.49"/>
    <s v="Drive-thru "/>
    <x v="0"/>
    <s v="Walter Muller"/>
    <n v="631"/>
    <s v="Berlin"/>
    <s v="Germany"/>
    <x v="7"/>
  </r>
  <r>
    <n v="10708"/>
    <d v="2022-12-28T00:00:00"/>
    <x v="1"/>
    <n v="2.95"/>
    <s v="Drive-thru "/>
    <x v="0"/>
    <s v="Walter Muller"/>
    <n v="678"/>
    <s v="Berlin"/>
    <s v="Germany"/>
    <x v="6"/>
  </r>
  <r>
    <n v="10709"/>
    <d v="2022-12-28T00:00:00"/>
    <x v="2"/>
    <n v="4.99"/>
    <s v="Drive-thru "/>
    <x v="0"/>
    <s v="Walter Muller"/>
    <n v="201"/>
    <s v="Berlin"/>
    <s v="Germany"/>
    <x v="2"/>
  </r>
  <r>
    <n v="10710"/>
    <d v="2022-12-29T00:00:00"/>
    <x v="3"/>
    <n v="12.99"/>
    <s v="Drive-thru "/>
    <x v="0"/>
    <s v="Walter Muller"/>
    <n v="755"/>
    <s v="Berlin"/>
    <s v="Germany"/>
    <x v="33"/>
  </r>
  <r>
    <n v="10711"/>
    <d v="2022-12-29T00:00:00"/>
    <x v="4"/>
    <n v="9.9499999999999993"/>
    <s v="Drive-thru "/>
    <x v="0"/>
    <s v="Walter Muller"/>
    <n v="282"/>
    <s v="Berlin"/>
    <s v="Germany"/>
    <x v="30"/>
  </r>
  <r>
    <n v="10712"/>
    <d v="2022-12-29T00:00:00"/>
    <x v="0"/>
    <n v="3.49"/>
    <s v="Drive-thru "/>
    <x v="0"/>
    <s v="Walter Muller"/>
    <n v="631"/>
    <s v="Berlin"/>
    <s v="Germany"/>
    <x v="7"/>
  </r>
  <r>
    <n v="10713"/>
    <d v="2022-12-29T00:00:00"/>
    <x v="1"/>
    <n v="2.95"/>
    <s v="Drive-thru "/>
    <x v="0"/>
    <s v="Walter Muller"/>
    <n v="678"/>
    <s v="Berlin"/>
    <s v="Germany"/>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6AE66-5D45-431C-B680-677DAF06EA5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9" firstHeaderRow="1" firstDataRow="1" firstDataCol="1"/>
  <pivotFields count="11">
    <pivotField showAll="0"/>
    <pivotField numFmtId="14"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items count="35">
        <item x="2"/>
        <item x="6"/>
        <item x="0"/>
        <item x="4"/>
        <item x="1"/>
        <item x="7"/>
        <item x="22"/>
        <item x="16"/>
        <item x="27"/>
        <item x="28"/>
        <item x="30"/>
        <item x="32"/>
        <item x="12"/>
        <item x="20"/>
        <item x="14"/>
        <item x="19"/>
        <item x="17"/>
        <item x="18"/>
        <item x="9"/>
        <item x="8"/>
        <item x="15"/>
        <item x="5"/>
        <item x="3"/>
        <item x="21"/>
        <item x="23"/>
        <item x="24"/>
        <item x="25"/>
        <item x="26"/>
        <item x="29"/>
        <item x="31"/>
        <item x="33"/>
        <item x="13"/>
        <item x="10"/>
        <item x="11"/>
        <item t="default"/>
      </items>
    </pivotField>
  </pivotFields>
  <rowFields count="1">
    <field x="5"/>
  </rowFields>
  <rowItems count="4">
    <i>
      <x/>
    </i>
    <i>
      <x v="1"/>
    </i>
    <i>
      <x v="2"/>
    </i>
    <i t="grand">
      <x/>
    </i>
  </rowItems>
  <colItems count="1">
    <i/>
  </colItems>
  <dataFields count="1">
    <dataField name="Sum of Revenu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2C9B9-4463-4F80-9F3C-2265B2D6753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B86AE-D61D-4A49-A215-CB74D7BD5E4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8" firstHeaderRow="1" firstDataRow="1" firstDataCol="1"/>
  <pivotFields count="11">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6">
    <i>
      <x/>
    </i>
    <i>
      <x v="3"/>
    </i>
    <i>
      <x v="1"/>
    </i>
    <i>
      <x v="2"/>
    </i>
    <i>
      <x v="4"/>
    </i>
    <i t="grand">
      <x/>
    </i>
  </rowItems>
  <colItems count="1">
    <i/>
  </colItems>
  <dataFields count="1">
    <dataField name="Sum of Quantity2"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Spain" TargetMode="External"/><Relationship Id="rId13" Type="http://schemas.openxmlformats.org/officeDocument/2006/relationships/hyperlink" Target="https://www.bing.com/th?id=OSK.a1512a61cf778ac466208259f8dc24f5&amp;qlt=95" TargetMode="External"/><Relationship Id="rId18" Type="http://schemas.openxmlformats.org/officeDocument/2006/relationships/hyperlink" Target="https://www.bing.com/images/search?form=xlimg&amp;q=Paris" TargetMode="External"/><Relationship Id="rId26" Type="http://schemas.openxmlformats.org/officeDocument/2006/relationships/hyperlink" Target="https://www.bing.com/images/search?form=xlimg&amp;q=lisbon+portugal" TargetMode="External"/><Relationship Id="rId3" Type="http://schemas.openxmlformats.org/officeDocument/2006/relationships/hyperlink" Target="https://www.bing.com/th?id=OSK.82d7640f570dd6409aeb195dcbc39faf&amp;qlt=95" TargetMode="External"/><Relationship Id="rId21" Type="http://schemas.openxmlformats.org/officeDocument/2006/relationships/hyperlink" Target="https://www.bing.com/th?id=AMMS_08d2869d43a589e2a364e67dfd999853&amp;qlt=95" TargetMode="External"/><Relationship Id="rId7" Type="http://schemas.openxmlformats.org/officeDocument/2006/relationships/hyperlink" Target="https://www.bing.com/th?id=OSK.fbb71d5e592f7fda00cf81328e03b81f&amp;qlt=95" TargetMode="External"/><Relationship Id="rId12" Type="http://schemas.openxmlformats.org/officeDocument/2006/relationships/hyperlink" Target="https://www.bing.com/images/search?form=xlimg&amp;q=Portugal" TargetMode="External"/><Relationship Id="rId17" Type="http://schemas.openxmlformats.org/officeDocument/2006/relationships/hyperlink" Target="https://www.bing.com/th?id=OSK.6f397b35762e2852058e1cfc4607f893&amp;qlt=95" TargetMode="External"/><Relationship Id="rId25" Type="http://schemas.openxmlformats.org/officeDocument/2006/relationships/hyperlink" Target="https://www.bing.com/th?id=AMMS_4e6ba38179bb5da098ec4c9929960d9c&amp;qlt=95" TargetMode="External"/><Relationship Id="rId2" Type="http://schemas.openxmlformats.org/officeDocument/2006/relationships/hyperlink" Target="https://www.bing.com/images/search?form=xlimg&amp;q=London" TargetMode="External"/><Relationship Id="rId16" Type="http://schemas.openxmlformats.org/officeDocument/2006/relationships/hyperlink" Target="https://www.bing.com/images/search?form=xlimg&amp;q=Germany" TargetMode="External"/><Relationship Id="rId20" Type="http://schemas.openxmlformats.org/officeDocument/2006/relationships/hyperlink" Target="https://www.bing.com/images/search?form=xlimg&amp;q=France" TargetMode="External"/><Relationship Id="rId29" Type="http://schemas.openxmlformats.org/officeDocument/2006/relationships/hyperlink" Target="https://www.bing.com/th?id=AMMS_170e62536294e690a4ae289472616a73&amp;qlt=95"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Madrid" TargetMode="External"/><Relationship Id="rId11" Type="http://schemas.openxmlformats.org/officeDocument/2006/relationships/hyperlink" Target="https://www.bing.com/th?id=OSK.2d7b7af86f9a55648a4aec7fbe3969e6&amp;qlt=95" TargetMode="External"/><Relationship Id="rId24" Type="http://schemas.openxmlformats.org/officeDocument/2006/relationships/hyperlink" Target="https://www.bing.com/images/search?form=xlimg&amp;q=spain" TargetMode="External"/><Relationship Id="rId5" Type="http://schemas.openxmlformats.org/officeDocument/2006/relationships/hyperlink" Target="https://www.bing.com/th?id=OSK.12f7533dca5f011065a431e87678062b&amp;qlt=95" TargetMode="External"/><Relationship Id="rId15" Type="http://schemas.openxmlformats.org/officeDocument/2006/relationships/hyperlink" Target="https://www.bing.com/th?id=OSK.7_iYqjXftHmThTCYlh51zbqPoNnoe4Qk7UaH59Ba1Z0&amp;qlt=95" TargetMode="External"/><Relationship Id="rId23" Type="http://schemas.openxmlformats.org/officeDocument/2006/relationships/hyperlink" Target="https://www.bing.com/th?id=AMMS_c8e707cdf8c98e126f2d5dde4447d146&amp;qlt=95" TargetMode="External"/><Relationship Id="rId28" Type="http://schemas.openxmlformats.org/officeDocument/2006/relationships/hyperlink" Target="https://www.bing.com/images/search?form=xlimg&amp;q=portugal" TargetMode="External"/><Relationship Id="rId10" Type="http://schemas.openxmlformats.org/officeDocument/2006/relationships/hyperlink" Target="https://www.bing.com/images/search?form=xlimg&amp;q=Lisbon" TargetMode="External"/><Relationship Id="rId19" Type="http://schemas.openxmlformats.org/officeDocument/2006/relationships/hyperlink" Target="https://www.bing.com/th?id=OSK.IJoB2IAflCzjheZJfaz5mfzEWw5jRcoWEgDQz1yU2Yk&amp;qlt=95" TargetMode="External"/><Relationship Id="rId4" Type="http://schemas.openxmlformats.org/officeDocument/2006/relationships/hyperlink" Target="https://www.bing.com/images/search?form=xlimg&amp;q=England" TargetMode="External"/><Relationship Id="rId9" Type="http://schemas.openxmlformats.org/officeDocument/2006/relationships/hyperlink" Target="https://www.bing.com/th?id=OSK.afd232fc301bf2f60901c59a64d2fe66&amp;qlt=95" TargetMode="External"/><Relationship Id="rId14" Type="http://schemas.openxmlformats.org/officeDocument/2006/relationships/hyperlink" Target="https://www.bing.com/images/search?form=xlimg&amp;q=Berlin" TargetMode="External"/><Relationship Id="rId22" Type="http://schemas.openxmlformats.org/officeDocument/2006/relationships/hyperlink" Target="https://www.bing.com/images/search?form=xlimg&amp;q=united+kingdom" TargetMode="External"/><Relationship Id="rId27" Type="http://schemas.openxmlformats.org/officeDocument/2006/relationships/hyperlink" Target="https://www.bing.com/th?id=AMMS_83f899973a13a6bc332ec9f56c3f6816&amp;qlt=95" TargetMode="External"/><Relationship Id="rId30" Type="http://schemas.openxmlformats.org/officeDocument/2006/relationships/hyperlink" Target="https://www.bing.com/images/search?form=xlimg&amp;q=germany"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52">
  <a r="1">
    <v t="r">6</v>
  </a>
  <a r="1">
    <v t="s">Greenwich Mean Time</v>
  </a>
  <a r="1">
    <v t="r">18</v>
  </a>
  <a r="1">
    <v t="s">English language</v>
  </a>
  <a r="2">
    <v t="s">Greenwich Mean Time</v>
    <v t="s">Western European Time</v>
  </a>
  <a r="1">
    <v t="r">32</v>
  </a>
  <a r="2">
    <v t="r">56</v>
    <v t="r">57</v>
  </a>
  <a r="1">
    <v t="s">Spanish language</v>
  </a>
  <a r="18">
    <v t="r">76</v>
    <v t="r">77</v>
    <v t="r">27</v>
    <v t="r">78</v>
    <v t="r">79</v>
    <v t="r">80</v>
    <v t="r">81</v>
    <v t="r">82</v>
    <v t="r">83</v>
    <v t="r">84</v>
    <v t="r">85</v>
    <v t="r">86</v>
    <v t="r">87</v>
    <v t="r">88</v>
    <v t="r">89</v>
    <v t="r">90</v>
    <v t="r">91</v>
    <v t="r">92</v>
  </a>
  <a r="2">
    <v t="s">UTC+02:00</v>
    <v t="s">UTC+01:00</v>
  </a>
  <a r="3">
    <v t="r">126</v>
    <v t="r">127</v>
    <v t="r">128</v>
  </a>
  <a r="1">
    <v t="s">Portuguese language</v>
  </a>
  <a r="20">
    <v t="r">101</v>
    <v t="r">147</v>
    <v t="r">148</v>
    <v t="r">149</v>
    <v t="r">150</v>
    <v t="r">151</v>
    <v t="r">152</v>
    <v t="r">153</v>
    <v t="r">154</v>
    <v t="r">155</v>
    <v t="r">156</v>
    <v t="r">157</v>
    <v t="r">158</v>
    <v t="r">159</v>
    <v t="r">160</v>
    <v t="r">161</v>
    <v t="r">162</v>
    <v t="r">163</v>
    <v t="r">164</v>
    <v t="r">165</v>
  </a>
  <a r="2">
    <v t="s">Western European Summer Time</v>
    <v t="s">Western European Time</v>
  </a>
  <a r="1">
    <v t="r">179</v>
  </a>
  <a r="1">
    <v t="s">German language</v>
  </a>
  <a r="2">
    <v t="r">203</v>
    <v t="r">204</v>
  </a>
  <a r="15">
    <v t="r">222</v>
    <v t="r">223</v>
    <v t="r">173</v>
    <v t="r">224</v>
    <v t="r">225</v>
    <v t="r">226</v>
    <v t="r">227</v>
    <v t="r">228</v>
    <v t="r">229</v>
    <v t="r">230</v>
    <v t="r">231</v>
    <v t="r">232</v>
    <v t="r">233</v>
    <v t="r">234</v>
    <v t="r">235</v>
  </a>
  <a r="1">
    <v t="r">249</v>
  </a>
  <a r="2">
    <v t="r">272</v>
    <v t="r">273</v>
  </a>
  <a r="1">
    <v t="s">French language</v>
  </a>
  <a r="25">
    <v t="r">291</v>
    <v t="r">292</v>
    <v t="r">293</v>
    <v t="r">244</v>
    <v t="r">294</v>
    <v t="r">295</v>
    <v t="r">296</v>
    <v t="r">297</v>
    <v t="r">298</v>
    <v t="r">299</v>
    <v t="r">300</v>
    <v t="r">301</v>
    <v t="r">302</v>
    <v t="r">303</v>
    <v t="r">304</v>
    <v t="r">305</v>
    <v t="r">306</v>
    <v t="r">307</v>
    <v t="r">308</v>
    <v t="r">309</v>
    <v t="r">310</v>
    <v t="r">311</v>
    <v t="r">312</v>
    <v t="r">313</v>
    <v t="r">314</v>
  </a>
  <a r="1">
    <v t="s">Central European Time</v>
  </a>
  <a r="1">
    <v t="r">327</v>
  </a>
  <a r="2">
    <v t="s">British Summer Time</v>
    <v t="s">Greenwich Mean Time Zone</v>
  </a>
  <a r="4">
    <v t="r">351</v>
    <v t="r">352</v>
    <v t="r">353</v>
    <v t="r">354</v>
  </a>
  <a r="1">
    <v t="s">English</v>
  </a>
  <a r="150">
    <v t="r">372</v>
    <v t="r">373</v>
    <v t="r">374</v>
    <v t="r">323</v>
    <v t="r">375</v>
    <v t="r">376</v>
    <v t="r">377</v>
    <v t="r">378</v>
    <v t="r">379</v>
    <v t="r">380</v>
    <v t="r">381</v>
    <v t="r">382</v>
    <v t="r">383</v>
    <v t="r">384</v>
    <v t="r">385</v>
    <v t="r">386</v>
    <v t="r">387</v>
    <v t="r">388</v>
    <v t="r">389</v>
    <v t="r">390</v>
    <v t="r">391</v>
    <v t="r">392</v>
    <v t="r">393</v>
    <v t="r">394</v>
    <v t="r">395</v>
    <v t="r">396</v>
    <v t="r">397</v>
    <v t="r">398</v>
    <v t="r">399</v>
    <v t="r">400</v>
    <v t="r">401</v>
    <v t="r">402</v>
    <v t="r">403</v>
    <v t="r">404</v>
    <v t="r">405</v>
    <v t="r">406</v>
    <v t="r">407</v>
    <v t="r">408</v>
    <v t="r">409</v>
    <v t="r">410</v>
    <v t="r">411</v>
    <v t="r">412</v>
    <v t="r">413</v>
    <v t="r">414</v>
    <v t="r">415</v>
    <v t="r">416</v>
    <v t="r">417</v>
    <v t="r">418</v>
    <v t="r">419</v>
    <v t="r">420</v>
    <v t="r">421</v>
    <v t="r">422</v>
    <v t="r">423</v>
    <v t="r">424</v>
    <v t="r">425</v>
    <v t="r">426</v>
    <v t="r">427</v>
    <v t="r">428</v>
    <v t="r">429</v>
    <v t="r">430</v>
    <v t="r">431</v>
    <v t="r">432</v>
    <v t="r">433</v>
    <v t="r">434</v>
    <v t="r">435</v>
    <v t="r">436</v>
    <v t="r">437</v>
    <v t="r">438</v>
    <v t="r">439</v>
    <v t="r">440</v>
    <v t="r">441</v>
    <v t="r">442</v>
    <v t="r">443</v>
    <v t="r">444</v>
    <v t="r">445</v>
    <v t="r">446</v>
    <v t="r">447</v>
    <v t="r">448</v>
    <v t="r">449</v>
    <v t="r">450</v>
    <v t="r">451</v>
    <v t="r">452</v>
    <v t="r">453</v>
    <v t="r">454</v>
    <v t="r">455</v>
    <v t="r">456</v>
    <v t="r">457</v>
    <v t="r">458</v>
    <v t="r">459</v>
    <v t="r">460</v>
    <v t="r">461</v>
    <v t="r">462</v>
    <v t="r">463</v>
    <v t="r">464</v>
    <v t="r">465</v>
    <v t="r">466</v>
    <v t="r">467</v>
    <v t="r">468</v>
    <v t="r">469</v>
    <v t="r">470</v>
    <v t="r">471</v>
    <v t="r">472</v>
    <v t="r">473</v>
    <v t="r">474</v>
    <v t="r">475</v>
    <v t="r">476</v>
    <v t="r">477</v>
    <v t="r">478</v>
    <v t="r">479</v>
    <v t="r">480</v>
    <v t="r">481</v>
    <v t="r">482</v>
    <v t="r">483</v>
    <v t="r">484</v>
    <v t="r">485</v>
    <v t="r">486</v>
    <v t="s">Metropolitan Borough of Knowsley</v>
    <v t="r">487</v>
    <v t="s">Metropolitan Borough of Wirral</v>
    <v t="r">488</v>
    <v t="r">489</v>
    <v t="r">490</v>
    <v t="r">491</v>
    <v t="r">492</v>
    <v t="r">493</v>
    <v t="r">494</v>
    <v t="r">495</v>
    <v t="r">496</v>
    <v t="r">497</v>
    <v t="r">498</v>
    <v t="r">499</v>
    <v t="r">500</v>
    <v t="r">501</v>
    <v t="r">502</v>
    <v t="r">503</v>
    <v t="r">504</v>
    <v t="r">505</v>
    <v t="r">506</v>
    <v t="r">507</v>
    <v t="r">508</v>
    <v t="s">Outer Hebrides</v>
    <v t="r">509</v>
    <v t="r">510</v>
    <v t="r">511</v>
    <v t="r">512</v>
    <v t="r">513</v>
    <v t="r">514</v>
    <v t="r">515</v>
    <v t="r">516</v>
    <v t="r">517</v>
  </a>
  <a r="3">
    <v t="s">British Summer Time</v>
    <v t="s">Greenwich Mean Time Zone</v>
    <v t="s">Western European Time Zone</v>
  </a>
  <a r="2">
    <v t="s">José Luis Martínez-Almeida (Mayor)</v>
    <v t="r">530</v>
  </a>
  <a r="1">
    <v t="s">Central European Time Zone</v>
  </a>
  <a r="3">
    <v t="r">538</v>
    <v t="r">539</v>
    <v t="r">540</v>
  </a>
  <a r="1">
    <v t="s">Spanish</v>
  </a>
  <a r="59">
    <v t="r">544</v>
    <v t="r">545</v>
    <v t="r">546</v>
    <v t="r">547</v>
    <v t="r">526</v>
    <v t="r">548</v>
    <v t="r">549</v>
    <v t="r">550</v>
    <v t="r">551</v>
    <v t="r">552</v>
    <v t="r">553</v>
    <v t="r">554</v>
    <v t="r">555</v>
    <v t="r">556</v>
    <v t="r">557</v>
    <v t="r">558</v>
    <v t="r">559</v>
    <v t="r">560</v>
    <v t="r">561</v>
    <v t="s">Province of Cádiz</v>
    <v t="r">562</v>
    <v t="r">563</v>
    <v t="r">564</v>
    <v t="r">565</v>
    <v t="r">566</v>
    <v t="r">567</v>
    <v t="s">Province of Seville</v>
    <v t="s">Province of Granada</v>
    <v t="s">Province of Valladolid</v>
    <v t="r">568</v>
    <v t="r">569</v>
    <v t="s">Province of Segovia</v>
    <v t="r">570</v>
    <v t="s">Province of Palencia</v>
    <v t="r">571</v>
    <v t="r">572</v>
    <v t="r">573</v>
    <v t="r">574</v>
    <v t="r">575</v>
    <v t="r">576</v>
    <v t="r">577</v>
    <v t="r">578</v>
    <v t="s">Province of Jaén</v>
    <v t="r">579</v>
    <v t="r">580</v>
    <v t="r">581</v>
    <v t="r">582</v>
    <v t="r">583</v>
    <v t="s">Province of Burgos</v>
    <v t="s">Province of Málaga</v>
    <v t="r">584</v>
    <v t="s">Province of Huesca</v>
    <v t="s">Province of Soria</v>
    <v t="s">Province of Zamora</v>
    <v t="s">Province of Ciudad Real</v>
    <v t="s">Province of Teruel</v>
    <v t="s">Province of Guadalajara</v>
    <v t="r">585</v>
    <v t="s">Province of Las Palmas</v>
  </a>
  <a r="2">
    <v t="s">Central European Time Zone</v>
    <v t="s">Western European Time Zone</v>
  </a>
  <a r="2">
    <v t="s">Greenwich Mean Time Zone</v>
    <v t="s">Western European Time Zone</v>
  </a>
  <a r="2">
    <v t="r">598</v>
    <v t="r">599</v>
  </a>
  <a r="1">
    <v t="s">Portuguese</v>
  </a>
  <a r="20">
    <v t="r">603</v>
    <v t="r">590</v>
    <v t="r">604</v>
    <v t="r">605</v>
    <v t="r">606</v>
    <v t="r">607</v>
    <v t="r">608</v>
    <v t="r">609</v>
    <v t="r">610</v>
    <v t="r">611</v>
    <v t="r">612</v>
    <v t="r">613</v>
    <v t="r">614</v>
    <v t="r">615</v>
    <v t="r">616</v>
    <v t="r">617</v>
    <v t="r">618</v>
    <v t="r">619</v>
    <v t="r">620</v>
    <v t="r">621</v>
  </a>
  <a r="1">
    <v t="s">Western European Time Zone</v>
  </a>
  <a r="1">
    <v t="r">628</v>
  </a>
  <a r="3">
    <v t="s">Central European Summer Time</v>
    <v t="s">Central European Time Zone</v>
    <v t="s">W. Europe Standard Time</v>
  </a>
  <a r="4">
    <v t="r">635</v>
    <v t="r">636</v>
    <v t="r">637</v>
    <v t="r">637</v>
  </a>
  <a r="1">
    <v t="s">German</v>
  </a>
  <a r="16">
    <v t="r">641</v>
    <v t="r">625</v>
    <v t="r">642</v>
    <v t="r">643</v>
    <v t="r">644</v>
    <v t="r">645</v>
    <v t="s">Thuringia</v>
    <v t="r">646</v>
    <v t="r">647</v>
    <v t="r">648</v>
    <v t="r">649</v>
    <v t="r">650</v>
    <v t="r">651</v>
    <v t="r">652</v>
    <v t="r">653</v>
    <v t="r">654</v>
  </a>
  <a r="2">
    <v t="s">Central European Summer Time</v>
    <v t="s">Central European Time Zone</v>
  </a>
  <a r="1">
    <v t="r">662</v>
  </a>
  <a r="7">
    <v t="r">667</v>
    <v t="r">668</v>
    <v t="r">669</v>
    <v t="s">Jean Castex (Prime Minister)</v>
    <v t="r">670</v>
    <v t="r">671</v>
    <v t="r">672</v>
  </a>
  <a r="1">
    <v t="s">French</v>
  </a>
  <a r="132">
    <v t="r">676</v>
    <v t="r">658</v>
    <v t="r">677</v>
    <v t="s">Alsace</v>
    <v t="r">678</v>
    <v t="r">679</v>
    <v t="s">Brittany</v>
    <v t="s">Lorraine</v>
    <v t="r">680</v>
    <v t="r">681</v>
    <v t="r">682</v>
    <v t="r">683</v>
    <v t="r">684</v>
    <v t="r">685</v>
    <v t="r">686</v>
    <v t="r">687</v>
    <v t="r">688</v>
    <v t="r">689</v>
    <v t="r">690</v>
    <v t="s">Burgundy</v>
    <v t="s">Loire</v>
    <v t="r">691</v>
    <v t="s">Poitou-Charentes</v>
    <v t="r">692</v>
    <v t="r">693</v>
    <v t="r">694</v>
    <v t="r">695</v>
    <v t="r">696</v>
    <v t="r">697</v>
    <v t="r">698</v>
    <v t="s">Picardy</v>
    <v t="r">699</v>
    <v t="s">Limousin</v>
    <v t="r">700</v>
    <v t="r">701</v>
    <v t="s">Auvergne</v>
    <v t="r">702</v>
    <v t="r">703</v>
    <v t="s">Franche-Comté</v>
    <v t="r">704</v>
    <v t="s">Rhône-Alpes</v>
    <v t="s">Midi-Pyrénées</v>
    <v t="r">705</v>
    <v t="r">706</v>
    <v t="r">707</v>
    <v t="r">708</v>
    <v t="s">Languedoc-Roussillon</v>
    <v t="s">Nord-Pas-de-Calais</v>
    <v t="r">709</v>
    <v t="s">Aquitaine</v>
    <v t="r">710</v>
    <v t="r">711</v>
    <v t="r">712</v>
    <v t="r">713</v>
    <v t="r">714</v>
    <v t="r">715</v>
    <v t="r">716</v>
    <v t="r">717</v>
    <v t="r">718</v>
    <v t="r">719</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v t="r">758</v>
    <v t="r">759</v>
    <v t="r">760</v>
    <v t="r">761</v>
    <v t="r">762</v>
    <v t="r">763</v>
    <v t="r">764</v>
    <v t="r">765</v>
    <v t="r">766</v>
    <v t="r">767</v>
    <v t="r">768</v>
    <v t="r">769</v>
    <v t="r">770</v>
    <v t="r">771</v>
    <v t="r">772</v>
    <v t="r">773</v>
    <v t="r">774</v>
    <v t="r">775</v>
    <v t="r">776</v>
    <v t="r">777</v>
    <v t="r">778</v>
    <v t="r">779</v>
    <v t="r">780</v>
    <v t="r">781</v>
    <v t="r">782</v>
    <v t="s">Lower Normandy</v>
    <v t="s">Upper Normandy</v>
    <v t="r">783</v>
    <v t="r">784</v>
    <v t="r">785</v>
    <v t="r">786</v>
    <v t="r">787</v>
    <v t="r">788</v>
    <v t="s">Champagne-Ardenne</v>
  </a>
  <a r="258">
    <v t="r">0</v>
    <v t="r">26</v>
    <v t="r">100</v>
    <v t="r">173</v>
    <v t="r">173</v>
    <v t="r">242</v>
    <v t="r">173</v>
    <v t="r">242</v>
    <v t="r">242</v>
    <v t="r">242</v>
    <v t="r">242</v>
    <v t="r">242</v>
    <v t="r">26</v>
    <v t="r">26</v>
    <v t="r">26</v>
    <v t="r">26</v>
    <v t="r">26</v>
    <v t="r">26</v>
    <v t="r">26</v>
    <v t="r">26</v>
    <v t="r">26</v>
    <v t="r">26</v>
    <v t="r">26</v>
    <v t="r">26</v>
    <v t="r">26</v>
    <v t="r">26</v>
    <v t="r">26</v>
    <v t="r">26</v>
    <v t="r">100</v>
    <v t="r">100</v>
    <v t="r">100</v>
    <v t="r">100</v>
    <v t="r">100</v>
    <v t="r">100</v>
    <v t="r">100</v>
    <v t="r">26</v>
    <v t="r">26</v>
    <v t="r">26</v>
    <v t="r">26</v>
    <v t="r">26</v>
    <v t="r">26</v>
    <v t="r">26</v>
    <v t="r">26</v>
    <v t="r">26</v>
    <v t="r">26</v>
    <v t="r">26</v>
    <v t="r">26</v>
    <v t="r">26</v>
    <v t="r">26</v>
    <v t="r">26</v>
    <v t="r">26</v>
    <v t="r">26</v>
    <v t="r">26</v>
    <v t="r">26</v>
    <v t="r">26</v>
    <v t="r">26</v>
    <v t="r">26</v>
    <v t="r">100</v>
    <v t="r">100</v>
    <v t="r">100</v>
    <v t="r">100</v>
    <v t="r">100</v>
    <v t="r">100</v>
    <v t="r">100</v>
    <v t="r">100</v>
    <v t="r">100</v>
    <v t="r">242</v>
    <v t="r">242</v>
    <v t="r">242</v>
    <v t="r">242</v>
    <v t="r">242</v>
    <v t="r">242</v>
    <v t="r">242</v>
    <v t="r">242</v>
    <v t="r">242</v>
    <v t="r">242</v>
    <v t="r">242</v>
    <v t="r">242</v>
    <v t="r">100</v>
    <v t="r">100</v>
    <v t="r">26</v>
    <v t="r">26</v>
    <v t="r">26</v>
    <v t="r">26</v>
    <v t="r">26</v>
    <v t="r">26</v>
    <v t="r">26</v>
    <v t="r">0</v>
    <v t="r">0</v>
    <v t="r">0</v>
    <v t="r">0</v>
    <v t="r">0</v>
    <v t="r">0</v>
    <v t="r">0</v>
    <v t="r">0</v>
    <v t="r">0</v>
    <v t="r">0</v>
    <v t="r">0</v>
    <v t="r">0</v>
    <v t="r">0</v>
    <v t="r">0</v>
    <v t="r">0</v>
    <v t="r">0</v>
    <v t="r">0</v>
    <v t="r">0</v>
    <v t="r">0</v>
    <v t="r">0</v>
    <v t="r">0</v>
    <v t="r">0</v>
    <v t="r">0</v>
    <v t="r">0</v>
    <v t="r">0</v>
    <v t="r">0</v>
    <v t="r">0</v>
    <v t="r">0</v>
    <v t="r">0</v>
    <v t="r">0</v>
    <v t="r">0</v>
    <v t="r">242</v>
    <v t="r">242</v>
    <v t="r">242</v>
    <v t="r">242</v>
    <v t="r">242</v>
    <v t="r">242</v>
    <v t="r">242</v>
    <v t="r">242</v>
    <v t="r">242</v>
    <v t="r">242</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100</v>
    <v t="r">173</v>
    <v t="r">173</v>
    <v t="r">173</v>
    <v t="r">173</v>
    <v t="r">173</v>
    <v t="r">173</v>
    <v t="r">173</v>
    <v t="r">173</v>
    <v t="r">173</v>
    <v t="r">173</v>
    <v t="r">173</v>
    <v t="r">173</v>
    <v t="r">173</v>
    <v t="r">173</v>
    <v t="r">173</v>
    <v t="r">173</v>
    <v t="r">173</v>
    <v t="r">173</v>
    <v t="r">173</v>
    <v t="r">173</v>
    <v t="r">173</v>
    <v t="r">173</v>
    <v t="r">173</v>
    <v t="r">173</v>
    <v t="r">173</v>
    <v t="r">173</v>
    <v t="r">173</v>
    <v t="i">2</v>
  </a>
  <a r="258">
    <v t="r">1</v>
    <v t="r">29</v>
    <v t="r">103</v>
    <v t="r">175</v>
    <v t="r">175</v>
    <v t="r">246</v>
    <v t="r">175</v>
    <v t="r">246</v>
    <v t="r">246</v>
    <v t="r">246</v>
    <v t="r">246</v>
    <v t="r">246</v>
    <v t="r">29</v>
    <v t="r">29</v>
    <v t="r">29</v>
    <v t="r">29</v>
    <v t="r">29</v>
    <v t="r">29</v>
    <v t="r">29</v>
    <v t="r">29</v>
    <v t="r">29</v>
    <v t="r">29</v>
    <v t="r">29</v>
    <v t="r">29</v>
    <v t="r">29</v>
    <v t="r">29</v>
    <v t="r">29</v>
    <v t="r">29</v>
    <v t="r">103</v>
    <v t="r">103</v>
    <v t="r">103</v>
    <v t="r">103</v>
    <v t="r">103</v>
    <v t="r">103</v>
    <v t="r">103</v>
    <v t="r">29</v>
    <v t="r">29</v>
    <v t="r">29</v>
    <v t="r">29</v>
    <v t="r">29</v>
    <v t="r">29</v>
    <v t="r">29</v>
    <v t="r">29</v>
    <v t="r">29</v>
    <v t="r">29</v>
    <v t="r">29</v>
    <v t="r">29</v>
    <v t="r">29</v>
    <v t="r">29</v>
    <v t="r">29</v>
    <v t="r">29</v>
    <v t="r">29</v>
    <v t="r">29</v>
    <v t="r">29</v>
    <v t="r">29</v>
    <v t="r">29</v>
    <v t="r">29</v>
    <v t="r">103</v>
    <v t="r">103</v>
    <v t="r">103</v>
    <v t="r">103</v>
    <v t="r">103</v>
    <v t="r">103</v>
    <v t="r">103</v>
    <v t="r">103</v>
    <v t="r">103</v>
    <v t="r">246</v>
    <v t="r">246</v>
    <v t="r">246</v>
    <v t="r">246</v>
    <v t="r">246</v>
    <v t="r">246</v>
    <v t="r">246</v>
    <v t="r">246</v>
    <v t="r">246</v>
    <v t="r">246</v>
    <v t="r">246</v>
    <v t="r">246</v>
    <v t="r">103</v>
    <v t="r">103</v>
    <v t="r">29</v>
    <v t="r">29</v>
    <v t="r">29</v>
    <v t="r">29</v>
    <v t="r">29</v>
    <v t="r">29</v>
    <v t="r">29</v>
    <v t="r">1</v>
    <v t="r">1</v>
    <v t="r">1</v>
    <v t="r">1</v>
    <v t="r">1</v>
    <v t="r">1</v>
    <v t="r">1</v>
    <v t="r">1</v>
    <v t="r">1</v>
    <v t="r">1</v>
    <v t="r">1</v>
    <v t="r">1</v>
    <v t="r">1</v>
    <v t="r">1</v>
    <v t="r">1</v>
    <v t="r">1</v>
    <v t="r">1</v>
    <v t="r">1</v>
    <v t="r">1</v>
    <v t="r">1</v>
    <v t="r">1</v>
    <v t="r">1</v>
    <v t="r">1</v>
    <v t="r">1</v>
    <v t="r">1</v>
    <v t="r">1</v>
    <v t="r">1</v>
    <v t="r">1</v>
    <v t="r">1</v>
    <v t="r">1</v>
    <v t="r">1</v>
    <v t="r">246</v>
    <v t="r">246</v>
    <v t="r">246</v>
    <v t="r">246</v>
    <v t="r">246</v>
    <v t="r">246</v>
    <v t="r">246</v>
    <v t="r">246</v>
    <v t="r">246</v>
    <v t="r">246</v>
    <v t="r">1</v>
    <v t="r">1</v>
    <v t="r">1</v>
    <v t="r">1</v>
    <v t="r">1</v>
    <v t="r">1</v>
    <v t="r">1</v>
    <v t="r">1</v>
    <v t="r">1</v>
    <v t="r">1</v>
    <v t="r">1</v>
    <v t="r">1</v>
    <v t="r">1</v>
    <v t="r">1</v>
    <v t="r">1</v>
    <v t="r">1</v>
    <v t="r">1</v>
    <v t="r">1</v>
    <v t="r">1</v>
    <v t="r">1</v>
    <v t="r">1</v>
    <v t="r">1</v>
    <v t="r">1</v>
    <v t="r">1</v>
    <v t="r">1</v>
    <v t="r">1</v>
    <v t="r">1</v>
    <v t="r">1</v>
    <v t="r">1</v>
    <v t="r">1</v>
    <v t="r">1</v>
    <v t="r">1</v>
    <v t="r">1</v>
    <v t="r">1</v>
    <v t="r">1</v>
    <v t="r">1</v>
    <v t="r">1</v>
    <v t="r">1</v>
    <v t="r">1</v>
    <v t="r">1</v>
    <v t="r">1</v>
    <v t="r">1</v>
    <v t="r">1</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103</v>
    <v t="r">175</v>
    <v t="r">175</v>
    <v t="r">175</v>
    <v t="r">175</v>
    <v t="r">175</v>
    <v t="r">175</v>
    <v t="r">175</v>
    <v t="r">175</v>
    <v t="r">175</v>
    <v t="r">175</v>
    <v t="r">175</v>
    <v t="r">175</v>
    <v t="r">175</v>
    <v t="r">175</v>
    <v t="r">175</v>
    <v t="r">175</v>
    <v t="r">175</v>
    <v t="r">175</v>
    <v t="r">175</v>
    <v t="r">175</v>
    <v t="r">175</v>
    <v t="r">175</v>
    <v t="r">175</v>
    <v t="r">175</v>
    <v t="r">175</v>
    <v t="r">175</v>
    <v t="r">175</v>
    <v t="i">2</v>
  </a>
</arrayData>
</file>

<file path=xl/richData/rdrichvalue.xml><?xml version="1.0" encoding="utf-8"?>
<rvData xmlns="http://schemas.microsoft.com/office/spreadsheetml/2017/richdata" count="794">
  <rv s="0">
    <v>536870912</v>
    <v>London</v>
    <v>8e0ba7b6-4225-fa8a-6369-1b5294e602a5</v>
    <v>en-US</v>
    <v>Map</v>
  </rv>
  <rv s="0">
    <v>536870912</v>
    <v>England</v>
    <v>280d39e8-7217-6863-6980-a8c20c211c89</v>
    <v>en-US</v>
    <v>Map</v>
  </rv>
  <rv s="0">
    <v>536870912</v>
    <v>Greater London</v>
    <v>2ba8a441-178c-f2c0-26cb-a4b260b8c806</v>
    <v>en-US</v>
    <v>Map</v>
  </rv>
  <rv s="1">
    <fb>1572</fb>
    <v>8</v>
  </rv>
  <rv s="2">
    <v>0</v>
    <v>6</v>
    <v>0</v>
    <v>7</v>
    <v>0</v>
    <v>Image of London</v>
  </rv>
  <rv s="1">
    <fb>51.507222222221998</fb>
    <v>9</v>
  </rv>
  <rv s="0">
    <v>805306368</v>
    <v>Sadiq Khan (Mayor)</v>
    <v>d7862dc2-4c03-1dc8-3412-7fe03041fdcb</v>
    <v>en-US</v>
    <v>Generic</v>
  </rv>
  <rv s="3">
    <v>0</v>
  </rv>
  <rv s="4">
    <v>https://www.bing.com/search?q=london+england&amp;form=skydnc</v>
    <v>Learn more on Bing</v>
  </rv>
  <rv s="1">
    <fb>-0.1275</fb>
    <v>9</v>
  </rv>
  <rv s="1">
    <fb>8866180</fb>
    <v>8</v>
  </rv>
  <rv s="3">
    <v>1</v>
  </rv>
  <rv s="5">
    <v>#VALUE!</v>
    <v>en-US</v>
    <v>8e0ba7b6-4225-fa8a-6369-1b5294e602a5</v>
    <v>536870912</v>
    <v>1</v>
    <v>1</v>
    <v>2</v>
    <v>London</v>
    <v>4</v>
    <v>5</v>
    <v>Map</v>
    <v>6</v>
    <v>7</v>
    <v>1</v>
    <v>2</v>
    <v>3</v>
    <v>1</v>
    <v>London is the capital and largest city of both England and the United Kingdom, with a population of 8,866,180 in 2022. Its wider metropolitan area is the largest in Western Europe, with a population of 14.9 million. London stands on the River ...</v>
    <v>4</v>
    <v>5</v>
    <v>7</v>
    <v>8</v>
    <v>9</v>
    <v>London</v>
    <v>10</v>
    <v>11</v>
    <v>London</v>
    <v>mdp/vdpid/5471798185326280713</v>
  </rv>
  <rv s="1">
    <fb>130278</fb>
    <v>8</v>
  </rv>
  <rv s="0">
    <v>536870912</v>
    <v>United Kingdom</v>
    <v>b1a5155a-6bb2-4646-8f7c-3e6b3a53c831</v>
    <v>en-US</v>
    <v>Map</v>
  </rv>
  <rv s="1">
    <fb>22063368</fb>
    <v>8</v>
  </rv>
  <rv s="1">
    <fb>22976066</fb>
    <v>8</v>
  </rv>
  <rv s="2">
    <v>1</v>
    <v>6</v>
    <v>10</v>
    <v>7</v>
    <v>0</v>
    <v>Image of England</v>
  </rv>
  <rv s="0">
    <v>805306368</v>
    <v>Charles III (Monarch)</v>
    <v>afc6f6a9-5b55-9178-3e6f-2c8b6d16ee9c</v>
    <v>en-US</v>
    <v>Generic</v>
  </rv>
  <rv s="3">
    <v>2</v>
  </rv>
  <rv s="4">
    <v>https://www.bing.com/search?q=england&amp;form=skydnc</v>
    <v>Learn more on Bing</v>
  </rv>
  <rv s="3">
    <v>3</v>
  </rv>
  <rv s="1">
    <fb>2.4</fb>
    <v>16</v>
  </rv>
  <rv s="1">
    <fb>57106398</fb>
    <v>8</v>
  </rv>
  <rv s="3">
    <v>4</v>
  </rv>
  <rv s="6">
    <v>#VALUE!</v>
    <v>en-US</v>
    <v>280d39e8-7217-6863-6980-a8c20c211c89</v>
    <v>536870912</v>
    <v>1</v>
    <v>13</v>
    <v>14</v>
    <v>England</v>
    <v>4</v>
    <v>5</v>
    <v>Map</v>
    <v>6</v>
    <v>15</v>
    <v>GB-ENG</v>
    <v>13</v>
    <v>0</v>
    <v>14</v>
    <v>England is a country that is part of the United Kingdom. It is located on the island of Great Britain, of which it covers about 62%, and more than 100 smaller adjacent islands. It shares a land border with Scotland to the north and another land ...</v>
    <v>15</v>
    <v>16</v>
    <v>17</v>
    <v>0</v>
    <v>19</v>
    <v>20</v>
    <v>England</v>
    <v>21</v>
    <v>22</v>
    <v>23</v>
    <v>24</v>
    <v>England</v>
    <v>mdp/vdpid/10270</v>
  </rv>
  <rv s="0">
    <v>536870912</v>
    <v>Madrid</v>
    <v>a497c067-c4c6-4bf4-9a5d-34fd30589bda</v>
    <v>en-US</v>
    <v>Map</v>
  </rv>
  <rv s="0">
    <v>536870912</v>
    <v>Community of Madrid</v>
    <v>854c08ed-f6d7-c812-1a3f-46928ae0597e</v>
    <v>en-US</v>
    <v>Map</v>
  </rv>
  <rv s="1">
    <fb>604.45510000000002</fb>
    <v>8</v>
  </rv>
  <rv s="0">
    <v>536870912</v>
    <v>Spain</v>
    <v>1baf9d59-f443-e9f4-6e49-de048a073e3f</v>
    <v>en-US</v>
    <v>Map</v>
  </rv>
  <rv s="2">
    <v>2</v>
    <v>6</v>
    <v>17</v>
    <v>7</v>
    <v>0</v>
    <v>Image of Madrid</v>
  </rv>
  <rv s="1">
    <fb>40.416944444444397</fb>
    <v>9</v>
  </rv>
  <rv s="0">
    <v>805306368</v>
    <v>José Luis Martínez-Almeida (Mayor)</v>
    <v>d059f89e-9389-5fff-d365-894d7aefd20e</v>
    <v>en-US</v>
    <v>Generic</v>
  </rv>
  <rv s="3">
    <v>5</v>
  </rv>
  <rv s="4">
    <v>https://www.bing.com/search?q=madrid+spain&amp;form=skydnc</v>
    <v>Learn more on Bing</v>
  </rv>
  <rv s="1">
    <fb>-3.70333333333333</fb>
    <v>9</v>
  </rv>
  <rv s="1">
    <fb>3332035</fb>
    <v>8</v>
  </rv>
  <rv s="7">
    <v>#VALUE!</v>
    <v>en-US</v>
    <v>a497c067-c4c6-4bf4-9a5d-34fd30589bda</v>
    <v>536870912</v>
    <v>1</v>
    <v>18</v>
    <v>19</v>
    <v>Madrid</v>
    <v>4</v>
    <v>5</v>
    <v>Map</v>
    <v>6</v>
    <v>20</v>
    <v>27</v>
    <v>28</v>
    <v>29</v>
    <v>Madrid is the capital and most populous city of Spain. The city has almost 3.4 million inhabitants and a metropolitan area population of approximately 7 million. It is the second-largest city in the European Union, and its monocentric ...</v>
    <v>30</v>
    <v>31</v>
    <v>33</v>
    <v>34</v>
    <v>35</v>
    <v>Madrid</v>
    <v>36</v>
    <v>Madrid</v>
    <v>mdp/vdpid/5669357583933112321</v>
  </rv>
  <rv s="1">
    <fb>0.52577247440306896</fb>
    <v>40</v>
  </rv>
  <rv s="1">
    <fb>505990</fb>
    <v>8</v>
  </rv>
  <rv s="1">
    <fb>196000</fb>
    <v>8</v>
  </rv>
  <rv s="1">
    <fb>7.9</fb>
    <v>16</v>
  </rv>
  <rv s="1">
    <fb>34</fb>
    <v>41</v>
  </rv>
  <rv s="1">
    <fb>244002.18</fb>
    <v>8</v>
  </rv>
  <rv s="1">
    <fb>110.96151904206</fb>
    <v>42</v>
  </rv>
  <rv s="1">
    <fb>6.9953624171701497E-3</fb>
    <v>40</v>
  </rv>
  <rv s="1">
    <fb>5355.9870055822103</fb>
    <v>8</v>
  </rv>
  <rv s="1">
    <fb>1.26</fb>
    <v>16</v>
  </rv>
  <rv s="1">
    <fb>0.36936209528965797</fb>
    <v>40</v>
  </rv>
  <rv s="1">
    <fb>72.955546118337793</fb>
    <v>43</v>
  </rv>
  <rv s="1">
    <fb>1.26</fb>
    <v>44</v>
  </rv>
  <rv s="1">
    <fb>1394116310768.6299</fb>
    <v>45</v>
  </rv>
  <rv s="1">
    <fb>1.0271029</fb>
    <v>40</v>
  </rv>
  <rv s="1">
    <fb>0.88853009999999999</fb>
    <v>40</v>
  </rv>
  <rv s="2">
    <v>3</v>
    <v>6</v>
    <v>23</v>
    <v>7</v>
    <v>0</v>
    <v>Image of Spain</v>
  </rv>
  <rv s="1">
    <fb>2.5</fb>
    <v>43</v>
  </rv>
  <rv s="0">
    <v>805306368</v>
    <v>Felipe VI (Monarch)</v>
    <v>ec86fb82-ddbc-286a-d1a7-3644682c1efc</v>
    <v>en-US</v>
    <v>Generic</v>
  </rv>
  <rv s="0">
    <v>805306368</v>
    <v>Pedro Sánchez (Prime minister)</v>
    <v>9e0d6cf3-f466-7b6f-0a92-aa23020fc120</v>
    <v>en-US</v>
    <v>Generic</v>
  </rv>
  <rv s="3">
    <v>6</v>
  </rv>
  <rv s="4">
    <v>https://www.bing.com/search?q=spain&amp;form=skydnc</v>
    <v>Learn more on Bing</v>
  </rv>
  <rv s="1">
    <fb>83.334146341463395</fb>
    <v>43</v>
  </rv>
  <rv s="1">
    <fb>797285840000</fb>
    <v>45</v>
  </rv>
  <rv s="1">
    <fb>4</fb>
    <v>43</v>
  </rv>
  <rv s="1">
    <fb>5.6</fb>
    <v>44</v>
  </rv>
  <rv s="3">
    <v>7</v>
  </rv>
  <rv s="1">
    <fb>0.24229018520000001</fb>
    <v>40</v>
  </rv>
  <rv s="1">
    <fb>3.8723000000000001</fb>
    <v>16</v>
  </rv>
  <rv s="1">
    <fb>47615034</fb>
    <v>8</v>
  </rv>
  <rv s="1">
    <fb>0.23399999999999999</fb>
    <v>40</v>
  </rv>
  <rv s="1">
    <fb>0.254</fb>
    <v>40</v>
  </rv>
  <rv s="1">
    <fb>0.41</fb>
    <v>40</v>
  </rv>
  <rv s="1">
    <fb>2.1000000000000001E-2</fb>
    <v>40</v>
  </rv>
  <rv s="1">
    <fb>6.2E-2</fb>
    <v>40</v>
  </rv>
  <rv s="1">
    <fb>0.122</fb>
    <v>40</v>
  </rv>
  <rv s="1">
    <fb>0.17199999999999999</fb>
    <v>40</v>
  </rv>
  <rv s="1">
    <fb>0.57492000579834002</fb>
    <v>40</v>
  </rv>
  <rv s="0">
    <v>536870912</v>
    <v>Andalusia</v>
    <v>b009454b-b921-1477-fbf3-ea4c66d409b5</v>
    <v>en-US</v>
    <v>Map</v>
  </rv>
  <rv s="0">
    <v>536870912</v>
    <v>Catalonia</v>
    <v>54afd4ed-d6c4-c6c9-2f8d-10440795b196</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8</v>
  </rv>
  <rv s="1">
    <fb>0.14248211393678101</fb>
    <v>40</v>
  </rv>
  <rv s="3">
    <v>9</v>
  </rv>
  <rv s="1">
    <fb>0.47</fb>
    <v>40</v>
  </rv>
  <rv s="1">
    <fb>0.13958999633789099</fb>
    <v>46</v>
  </rv>
  <rv s="1">
    <fb>37927409</fb>
    <v>8</v>
  </rv>
  <rv s="8">
    <v>#VALUE!</v>
    <v>en-US</v>
    <v>1baf9d59-f443-e9f4-6e49-de048a073e3f</v>
    <v>536870912</v>
    <v>1</v>
    <v>37</v>
    <v>38</v>
    <v>Spain</v>
    <v>4</v>
    <v>5</v>
    <v>Map</v>
    <v>6</v>
    <v>39</v>
    <v>ES</v>
    <v>38</v>
    <v>39</v>
    <v>40</v>
    <v>41</v>
    <v>42</v>
    <v>26</v>
    <v>43</v>
    <v>44</v>
    <v>45</v>
    <v>EUR</v>
    <v>Spain, officially the Kingdom of Spain, is a country in Southwestern Europe with territories in North Africa. Featuring the southernmost point of continental Europe, it is the largest country in Southern Europe and the fourth-most populous ...</v>
    <v>46</v>
    <v>47</v>
    <v>48</v>
    <v>49</v>
    <v>50</v>
    <v>51</v>
    <v>52</v>
    <v>53</v>
    <v>54</v>
    <v>55</v>
    <v>26</v>
    <v>58</v>
    <v>59</v>
    <v>60</v>
    <v>61</v>
    <v>62</v>
    <v>63</v>
    <v>Spain</v>
    <v>Marcha Real</v>
    <v>64</v>
    <v>Reino de España</v>
    <v>65</v>
    <v>66</v>
    <v>67</v>
    <v>68</v>
    <v>69</v>
    <v>70</v>
    <v>71</v>
    <v>72</v>
    <v>73</v>
    <v>74</v>
    <v>75</v>
    <v>93</v>
    <v>94</v>
    <v>95</v>
    <v>96</v>
    <v>97</v>
    <v>Spain</v>
    <v>98</v>
    <v>mdp/vdpid/217</v>
  </rv>
  <rv s="0">
    <v>536870912</v>
    <v>Lisbon</v>
    <v>9d006cb5-bff4-48b4-9c83-443eaf418b11</v>
    <v>en-US</v>
    <v>Map</v>
  </rv>
  <rv s="0">
    <v>536870912</v>
    <v>Lisbon District</v>
    <v>9aabe4c9-f2ff-745a-22b7-741589d147d3</v>
    <v>en-US</v>
    <v>Map</v>
  </rv>
  <rv s="1">
    <fb>100.05</fb>
    <v>8</v>
  </rv>
  <rv s="0">
    <v>536870912</v>
    <v>Portugal</v>
    <v>9e917e65-c588-a0b7-f336-52fc6b5b2052</v>
    <v>en-US</v>
    <v>Map</v>
  </rv>
  <rv s="2">
    <v>4</v>
    <v>6</v>
    <v>47</v>
    <v>7</v>
    <v>0</v>
    <v>Image of Lisbon</v>
  </rv>
  <rv s="4">
    <v>https://www.bing.com/search?q=lisbon+portugal&amp;form=skydnc</v>
    <v>Learn more on Bing</v>
  </rv>
  <rv s="1">
    <fb>545923</fb>
    <v>8</v>
  </rv>
  <rv s="9">
    <v>#VALUE!</v>
    <v>en-US</v>
    <v>9d006cb5-bff4-48b4-9c83-443eaf418b11</v>
    <v>536870912</v>
    <v>1</v>
    <v>48</v>
    <v>49</v>
    <v>Lisbon</v>
    <v>4</v>
    <v>5</v>
    <v>Map</v>
    <v>6</v>
    <v>50</v>
    <v>101</v>
    <v>102</v>
    <v>103</v>
    <v>Lisbon is the capital and largest city of Portugal, with an estimated population of 567,131 as of 2023 within its administrative limits and 2,961,177 within the metropolis. Lisbon is mainland Europe's westernmost capital city and the only one ...</v>
    <v>104</v>
    <v>105</v>
    <v>Lisbon</v>
    <v>106</v>
    <v>Lisbon</v>
    <v>mdp/vdpid/161498680</v>
  </rv>
  <rv s="1">
    <fb>0.39452940398253294</fb>
    <v>40</v>
  </rv>
  <rv s="1">
    <fb>92225</fb>
    <v>8</v>
  </rv>
  <rv s="1">
    <fb>52000</fb>
    <v>8</v>
  </rv>
  <rv s="1">
    <fb>8.5</fb>
    <v>16</v>
  </rv>
  <rv s="1">
    <fb>351</fb>
    <v>41</v>
  </rv>
  <rv s="1">
    <fb>48741.764000000003</fb>
    <v>8</v>
  </rv>
  <rv s="1">
    <fb>110.624358614714</fb>
    <v>42</v>
  </rv>
  <rv s="1">
    <fb>3.3817841004612497E-3</fb>
    <v>40</v>
  </rv>
  <rv s="1">
    <fb>4662.6007998029399</fb>
    <v>8</v>
  </rv>
  <rv s="1">
    <fb>1.38</fb>
    <v>16</v>
  </rv>
  <rv s="1">
    <fb>0.34611423825368903</fb>
    <v>40</v>
  </rv>
  <rv s="1">
    <fb>77.024122555839</fb>
    <v>43</v>
  </rv>
  <rv s="1">
    <fb>1.54</fb>
    <v>44</v>
  </rv>
  <rv s="1">
    <fb>237686075634.698</fb>
    <v>45</v>
  </rv>
  <rv s="1">
    <fb>1.0618313000000001</fb>
    <v>40</v>
  </rv>
  <rv s="1">
    <fb>0.63935809999999993</fb>
    <v>40</v>
  </rv>
  <rv s="2">
    <v>5</v>
    <v>6</v>
    <v>52</v>
    <v>7</v>
    <v>0</v>
    <v>Image of Portugal</v>
  </rv>
  <rv s="1">
    <fb>3.1</fb>
    <v>43</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10</v>
  </rv>
  <rv s="4">
    <v>https://www.bing.com/search?q=portugal&amp;form=skydnc</v>
    <v>Learn more on Bing</v>
  </rv>
  <rv s="1">
    <fb>81.3243902439024</fb>
    <v>43</v>
  </rv>
  <rv s="1">
    <fb>61933604857.411003</fb>
    <v>45</v>
  </rv>
  <rv s="1">
    <fb>8</fb>
    <v>43</v>
  </rv>
  <rv s="1">
    <fb>3.78</fb>
    <v>44</v>
  </rv>
  <rv s="3">
    <v>11</v>
  </rv>
  <rv s="1">
    <fb>0.27650697260000001</fb>
    <v>40</v>
  </rv>
  <rv s="1">
    <fb>5.1239999999999997</fb>
    <v>16</v>
  </rv>
  <rv s="1">
    <fb>10379007</fb>
    <v>8</v>
  </rv>
  <rv s="1">
    <fb>0.221</fb>
    <v>40</v>
  </rv>
  <rv s="1">
    <fb>0.26700000000000002</fb>
    <v>40</v>
  </rv>
  <rv s="1">
    <fb>0.41600000000000004</fb>
    <v>40</v>
  </rv>
  <rv s="1">
    <fb>2.7000000000000003E-2</fb>
    <v>40</v>
  </rv>
  <rv s="1">
    <fb>7.400000000000001E-2</fb>
    <v>40</v>
  </rv>
  <rv s="1">
    <fb>0.124</fb>
    <v>40</v>
  </rv>
  <rv s="1">
    <fb>0.16500000000000001</fb>
    <v>40</v>
  </rv>
  <rv s="1">
    <fb>0.58811000823974602</fb>
    <v>40</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12</v>
  </rv>
  <rv s="1">
    <fb>0.227551770073532</fb>
    <v>40</v>
  </rv>
  <rv s="3">
    <v>13</v>
  </rv>
  <rv s="1">
    <fb>0.39799999999999996</fb>
    <v>40</v>
  </rv>
  <rv s="1">
    <fb>6.33400011062622E-2</fb>
    <v>46</v>
  </rv>
  <rv s="1">
    <fb>6753579</fb>
    <v>8</v>
  </rv>
  <rv s="8">
    <v>#VALUE!</v>
    <v>en-US</v>
    <v>9e917e65-c588-a0b7-f336-52fc6b5b2052</v>
    <v>536870912</v>
    <v>1</v>
    <v>55</v>
    <v>38</v>
    <v>Portugal</v>
    <v>4</v>
    <v>5</v>
    <v>Map</v>
    <v>6</v>
    <v>56</v>
    <v>PT</v>
    <v>108</v>
    <v>109</v>
    <v>110</v>
    <v>111</v>
    <v>112</v>
    <v>100</v>
    <v>113</v>
    <v>114</v>
    <v>115</v>
    <v>EUR</v>
    <v>Portugal, officially the Portuguese Republic, is a country in the Iberian Peninsula in Southwestern Europe. Featuring the westernmost point in continental Europe, Portugal borders Spain to its north and east, with which it shares the longest ...</v>
    <v>116</v>
    <v>117</v>
    <v>118</v>
    <v>119</v>
    <v>120</v>
    <v>121</v>
    <v>122</v>
    <v>123</v>
    <v>124</v>
    <v>125</v>
    <v>100</v>
    <v>129</v>
    <v>130</v>
    <v>131</v>
    <v>132</v>
    <v>133</v>
    <v>134</v>
    <v>Portugal</v>
    <v>A Portuguesa</v>
    <v>135</v>
    <v>Portugalská republika</v>
    <v>136</v>
    <v>137</v>
    <v>138</v>
    <v>139</v>
    <v>140</v>
    <v>141</v>
    <v>142</v>
    <v>143</v>
    <v>144</v>
    <v>145</v>
    <v>146</v>
    <v>166</v>
    <v>167</v>
    <v>168</v>
    <v>169</v>
    <v>170</v>
    <v>Portugal</v>
    <v>171</v>
    <v>mdp/vdpid/193</v>
  </rv>
  <rv s="0">
    <v>536870912</v>
    <v>Berlin</v>
    <v>42784943-7c23-7672-5527-06f89b965cdf</v>
    <v>en-US</v>
    <v>Map</v>
  </rv>
  <rv s="1">
    <fb>891.12</fb>
    <v>8</v>
  </rv>
  <rv s="0">
    <v>536870912</v>
    <v>Germany</v>
    <v>75c62d8e-1449-4e4d-b188-d9e88f878dd9</v>
    <v>en-US</v>
    <v>Map</v>
  </rv>
  <rv s="1">
    <fb>1794936</fb>
    <v>8</v>
  </rv>
  <rv s="1">
    <fb>1868905</fb>
    <v>8</v>
  </rv>
  <rv s="2">
    <v>6</v>
    <v>6</v>
    <v>57</v>
    <v>7</v>
    <v>0</v>
    <v>Image of Berlin</v>
  </rv>
  <rv s="0">
    <v>805306368</v>
    <v>Franziska Giffey (Mayor)</v>
    <v>0f36a115-cd69-74b0-1ad8-5ee6074d7916</v>
    <v>en-US</v>
    <v>Generic</v>
  </rv>
  <rv s="3">
    <v>14</v>
  </rv>
  <rv s="4">
    <v>https://www.bing.com/search?q=berlin+germany&amp;form=skydnc</v>
    <v>Learn more on Bing</v>
  </rv>
  <rv s="3">
    <v>15</v>
  </rv>
  <rv s="1">
    <fb>1.83</fb>
    <v>16</v>
  </rv>
  <rv s="1">
    <fb>3755251</fb>
    <v>8</v>
  </rv>
  <rv s="10">
    <v>#VALUE!</v>
    <v>en-US</v>
    <v>42784943-7c23-7672-5527-06f89b965cdf</v>
    <v>536870912</v>
    <v>1</v>
    <v>60</v>
    <v>61</v>
    <v>Berlin</v>
    <v>4</v>
    <v>5</v>
    <v>Map</v>
    <v>6</v>
    <v>15</v>
    <v>DE-BE</v>
    <v>174</v>
    <v>175</v>
    <v>Berlin is the capital and largest city of Germany by both area and by population. Its more than 3.85 million inhabitants make it the European Union's most populous city, according to population within city limits. Simultaneously, the city is one ...</v>
    <v>176</v>
    <v>177</v>
    <v>178</v>
    <v>180</v>
    <v>181</v>
    <v>Berlin</v>
    <v>182</v>
    <v>183</v>
    <v>184</v>
    <v>Berlin</v>
    <v>mdp/vdpid/7017957146650214401</v>
  </rv>
  <rv s="1">
    <fb>0.47678612319670299</fb>
    <v>40</v>
  </rv>
  <rv s="1">
    <fb>357587.77</fb>
    <v>8</v>
  </rv>
  <rv s="1">
    <fb>180000</fb>
    <v>8</v>
  </rv>
  <rv s="1">
    <fb>9.5</fb>
    <v>16</v>
  </rv>
  <rv s="1">
    <fb>49</fb>
    <v>41</v>
  </rv>
  <rv s="1">
    <fb>727972.84</fb>
    <v>8</v>
  </rv>
  <rv s="1">
    <fb>112.854887342124</fb>
    <v>42</v>
  </rv>
  <rv s="1">
    <fb>1.4456670146976E-2</fb>
    <v>40</v>
  </rv>
  <rv s="1">
    <fb>7035.4829747167596</fb>
    <v>8</v>
  </rv>
  <rv s="1">
    <fb>1.56</fb>
    <v>16</v>
  </rv>
  <rv s="1">
    <fb>0.326912067781085</fb>
    <v>40</v>
  </rv>
  <rv s="1">
    <fb>78.862551056754995</fb>
    <v>43</v>
  </rv>
  <rv s="1">
    <fb>1.39</fb>
    <v>44</v>
  </rv>
  <rv s="1">
    <fb>3845630030823.52</fb>
    <v>45</v>
  </rv>
  <rv s="1">
    <fb>1.0402236</fb>
    <v>40</v>
  </rv>
  <rv s="1">
    <fb>0.70246649999999999</fb>
    <v>40</v>
  </rv>
  <rv s="2">
    <v>7</v>
    <v>6</v>
    <v>63</v>
    <v>7</v>
    <v>0</v>
    <v>Image of Germany</v>
  </rv>
  <rv s="0">
    <v>805306368</v>
    <v>Frank-Walter Steinmeier (President)</v>
    <v>a6d595f9-116c-57de-2b35-48e9bde9f83d</v>
    <v>en-US</v>
    <v>Generic</v>
  </rv>
  <rv s="0">
    <v>805306368</v>
    <v>Olaf Scholz (Chancellor)</v>
    <v>d327207b-5560-1fae-17a8-4bc95203ea8e</v>
    <v>en-US</v>
    <v>Generic</v>
  </rv>
  <rv s="3">
    <v>16</v>
  </rv>
  <rv s="4">
    <v>https://www.bing.com/search?q=germany&amp;form=skydnc</v>
    <v>Learn more on Bing</v>
  </rv>
  <rv s="1">
    <fb>80.892682926829295</fb>
    <v>43</v>
  </rv>
  <rv s="1">
    <fb>2098173930000</fb>
    <v>45</v>
  </rv>
  <rv s="1">
    <fb>7</fb>
    <v>43</v>
  </rv>
  <rv s="1">
    <fb>9.99</fb>
    <v>44</v>
  </rv>
  <rv s="1">
    <fb>0.12528421940000001</fb>
    <v>40</v>
  </rv>
  <rv s="1">
    <fb>4.2488000000000001</fb>
    <v>16</v>
  </rv>
  <rv s="1">
    <fb>84079811</fb>
    <v>8</v>
  </rv>
  <rv s="1">
    <fb>0.22800000000000001</fb>
    <v>40</v>
  </rv>
  <rv s="1">
    <fb>0.24600000000000002</fb>
    <v>40</v>
  </rv>
  <rv s="1">
    <fb>0.39600000000000002</fb>
    <v>40</v>
  </rv>
  <rv s="1">
    <fb>2.8999999999999998E-2</fb>
    <v>40</v>
  </rv>
  <rv s="1">
    <fb>7.5999999999999998E-2</fb>
    <v>40</v>
  </rv>
  <rv s="1">
    <fb>0.128</fb>
    <v>40</v>
  </rv>
  <rv s="1">
    <fb>0.17100000000000001</fb>
    <v>40</v>
  </rv>
  <rv s="1">
    <fb>0.60811000823974604</fb>
    <v>40</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17</v>
  </rv>
  <rv s="1">
    <fb>0.11505903952014901</fb>
    <v>40</v>
  </rv>
  <rv s="1">
    <fb>0.48799999999999999</fb>
    <v>40</v>
  </rv>
  <rv s="1">
    <fb>3.0429999828338602E-2</fb>
    <v>46</v>
  </rv>
  <rv s="1">
    <fb>64324835</fb>
    <v>8</v>
  </rv>
  <rv s="8">
    <v>#VALUE!</v>
    <v>en-US</v>
    <v>75c62d8e-1449-4e4d-b188-d9e88f878dd9</v>
    <v>536870912</v>
    <v>1</v>
    <v>66</v>
    <v>38</v>
    <v>Germany</v>
    <v>4</v>
    <v>5</v>
    <v>Map</v>
    <v>6</v>
    <v>67</v>
    <v>DE</v>
    <v>186</v>
    <v>187</v>
    <v>188</v>
    <v>189</v>
    <v>190</v>
    <v>173</v>
    <v>191</v>
    <v>192</v>
    <v>193</v>
    <v>EUR</v>
    <v>Germany, officially the Federal Republic of Germany, is a country in Central Europe. It lies between the Baltic and North Sea to the north and the Alps to the south. Its sixteen constituent states have a total population of over 82 million in an ...</v>
    <v>194</v>
    <v>195</v>
    <v>196</v>
    <v>197</v>
    <v>198</v>
    <v>199</v>
    <v>200</v>
    <v>201</v>
    <v>202</v>
    <v>125</v>
    <v>173</v>
    <v>205</v>
    <v>206</v>
    <v>207</v>
    <v>208</v>
    <v>209</v>
    <v>210</v>
    <v>Germany</v>
    <v>National Anthem of Germany</v>
    <v>182</v>
    <v>Bundesrepublik Deutschland</v>
    <v>211</v>
    <v>212</v>
    <v>213</v>
    <v>214</v>
    <v>215</v>
    <v>216</v>
    <v>217</v>
    <v>218</v>
    <v>219</v>
    <v>220</v>
    <v>221</v>
    <v>236</v>
    <v>237</v>
    <v>95</v>
    <v>238</v>
    <v>239</v>
    <v>Germany</v>
    <v>240</v>
    <v>mdp/vdpid/94</v>
  </rv>
  <rv s="0">
    <v>536870912</v>
    <v>Paris</v>
    <v>85584d24-2116-5b98-89f9-5714db931ac6</v>
    <v>en-US</v>
    <v>Map</v>
  </rv>
  <rv s="0">
    <v>536870912</v>
    <v>Metropolitan France</v>
    <v>a50a7b3c-58a6-b52d-98d1-10a1a763403b</v>
    <v>en-US</v>
    <v>Map</v>
  </rv>
  <rv s="0">
    <v>536870912</v>
    <v>Île-de-France</v>
    <v>ba200862-fc37-6d22-3434-c6e709faa507</v>
    <v>en-US</v>
    <v>Map</v>
  </rv>
  <rv s="1">
    <fb>105.4</fb>
    <v>8</v>
  </rv>
  <rv s="0">
    <v>536870912</v>
    <v>France</v>
    <v>c7bfe2de-4f82-e23c-ae42-8544b5b5c0ea</v>
    <v>en-US</v>
    <v>Map</v>
  </rv>
  <rv s="2">
    <v>8</v>
    <v>6</v>
    <v>68</v>
    <v>7</v>
    <v>0</v>
    <v>Image of Paris</v>
  </rv>
  <rv s="1">
    <fb>48.856666666666698</fb>
    <v>9</v>
  </rv>
  <rv s="0">
    <v>805306368</v>
    <v>Anne Hidalgo (Mayor)</v>
    <v>f26212ed-b25d-e4f8-ecf0-85777b9d38cf</v>
    <v>en-US</v>
    <v>Generic</v>
  </rv>
  <rv s="3">
    <v>18</v>
  </rv>
  <rv s="4">
    <v>https://www.bing.com/search?q=paris+france&amp;form=skydnc</v>
    <v>Learn more on Bing</v>
  </rv>
  <rv s="1">
    <fb>2.35222222222222</fb>
    <v>9</v>
  </rv>
  <rv s="1">
    <fb>2048472</fb>
    <v>8</v>
  </rv>
  <rv s="5">
    <v>#VALUE!</v>
    <v>en-US</v>
    <v>85584d24-2116-5b98-89f9-5714db931ac6</v>
    <v>536870912</v>
    <v>1</v>
    <v>69</v>
    <v>2</v>
    <v>Paris</v>
    <v>4</v>
    <v>5</v>
    <v>Map</v>
    <v>6</v>
    <v>70</v>
    <v>243</v>
    <v>244</v>
    <v>245</v>
    <v>246</v>
    <v>Paris is the capital and largest city of France. With an estimated population of 2,048,472 residents in January 2025 in an area of more than 105 km², Paris is the fourth-most populous city in the European Union, the ninth-most populous city in ...</v>
    <v>247</v>
    <v>248</v>
    <v>250</v>
    <v>251</v>
    <v>252</v>
    <v>Paris</v>
    <v>253</v>
    <v>95</v>
    <v>Paris</v>
    <v>mdp/vdpid/7012570570818584578</v>
  </rv>
  <rv s="1">
    <fb>0.524475441661716</fb>
    <v>40</v>
  </rv>
  <rv s="1">
    <fb>643801</fb>
    <v>8</v>
  </rv>
  <rv s="1">
    <fb>307000</fb>
    <v>8</v>
  </rv>
  <rv s="1">
    <fb>11.3</fb>
    <v>16</v>
  </rv>
  <rv s="1">
    <fb>33</fb>
    <v>41</v>
  </rv>
  <rv s="1">
    <fb>303275.56800000003</fb>
    <v>8</v>
  </rv>
  <rv s="1">
    <fb>110.04856675289</fb>
    <v>42</v>
  </rv>
  <rv s="1">
    <fb>1.1082549228829199E-2</fb>
    <v>40</v>
  </rv>
  <rv s="1">
    <fb>6939.5214736692897</fb>
    <v>8</v>
  </rv>
  <rv s="1">
    <fb>1.88</fb>
    <v>16</v>
  </rv>
  <rv s="1">
    <fb>0.31233278442262596</fb>
    <v>40</v>
  </rv>
  <rv s="1">
    <fb>46.487970872236403</fb>
    <v>43</v>
  </rv>
  <rv s="1">
    <fb>2715518274227.4502</fb>
    <v>45</v>
  </rv>
  <rv s="1">
    <fb>1.0251076000000001</fb>
    <v>40</v>
  </rv>
  <rv s="1">
    <fb>0.65629000000000004</fb>
    <v>40</v>
  </rv>
  <rv s="2">
    <v>9</v>
    <v>6</v>
    <v>72</v>
    <v>7</v>
    <v>0</v>
    <v>Image of France</v>
  </rv>
  <rv s="1">
    <fb>3.4</fb>
    <v>43</v>
  </rv>
  <rv s="0">
    <v>805306368</v>
    <v>Emmanuel Macron (President)</v>
    <v>35be5a56-7a78-6352-b158-60da8f84c858</v>
    <v>en-US</v>
    <v>Generic</v>
  </rv>
  <rv s="0">
    <v>805306368</v>
    <v>François Bayrou (Prime minister)</v>
    <v>901a2dc7-aad0-c6da-f219-c2d7def8acba</v>
    <v>en-US</v>
    <v>Generic</v>
  </rv>
  <rv s="3">
    <v>19</v>
  </rv>
  <rv s="4">
    <v>https://www.bing.com/search?q=france&amp;form=skydnc</v>
    <v>Learn more on Bing</v>
  </rv>
  <rv s="1">
    <fb>82.526829268292701</fb>
    <v>43</v>
  </rv>
  <rv s="1">
    <fb>2365950236659.3599</fb>
    <v>45</v>
  </rv>
  <rv s="1">
    <fb>11.16</fb>
    <v>44</v>
  </rv>
  <rv s="3">
    <v>20</v>
  </rv>
  <rv s="1">
    <fb>6.7968269799999995E-2</fb>
    <v>40</v>
  </rv>
  <rv s="1">
    <fb>3.2671999999999999</fb>
    <v>16</v>
  </rv>
  <rv s="1">
    <fb>67749632</fb>
    <v>8</v>
  </rv>
  <rv s="1">
    <fb>0.21899999999999997</fb>
    <v>40</v>
  </rv>
  <rv s="1">
    <fb>0.25800000000000001</fb>
    <v>40</v>
  </rv>
  <rv s="1">
    <fb>0.4</fb>
    <v>40</v>
  </rv>
  <rv s="1">
    <fb>3.2000000000000001E-2</fb>
    <v>40</v>
  </rv>
  <rv s="1">
    <fb>8.1000000000000003E-2</fb>
    <v>40</v>
  </rv>
  <rv s="1">
    <fb>0.13</fb>
    <v>40</v>
  </rv>
  <rv s="1">
    <fb>0.16899999999999998</fb>
    <v>40</v>
  </rv>
  <rv s="1">
    <fb>0.55125999450683605</fb>
    <v>40</v>
  </rv>
  <rv s="0">
    <v>536870912</v>
    <v>Brittany</v>
    <v>809fb739-638d-2499-95bd-c8e5b10153ee</v>
    <v>en-US</v>
    <v>Map</v>
  </rv>
  <rv s="0">
    <v>536870912</v>
    <v>Centre-Val de Loire</v>
    <v>6aafd8c4-aba3-0388-62a3-d302e77f40c4</v>
    <v>en-US</v>
    <v>Map</v>
  </rv>
  <rv s="0">
    <v>536870912</v>
    <v>Corsica</v>
    <v>7dae6ff4-03ba-2162-da4b-d4cf544ad43f</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21</v>
  </rv>
  <rv s="1">
    <fb>0.24229980509910898</fb>
    <v>40</v>
  </rv>
  <rv s="3">
    <v>22</v>
  </rv>
  <rv s="1">
    <fb>0.60699999999999998</fb>
    <v>40</v>
  </rv>
  <rv s="1">
    <fb>8.4270000457763714E-2</fb>
    <v>46</v>
  </rv>
  <rv s="1">
    <fb>54123364</fb>
    <v>8</v>
  </rv>
  <rv s="8">
    <v>#VALUE!</v>
    <v>en-US</v>
    <v>c7bfe2de-4f82-e23c-ae42-8544b5b5c0ea</v>
    <v>536870912</v>
    <v>1</v>
    <v>75</v>
    <v>38</v>
    <v>France</v>
    <v>4</v>
    <v>5</v>
    <v>Map</v>
    <v>6</v>
    <v>76</v>
    <v>FR</v>
    <v>255</v>
    <v>256</v>
    <v>257</v>
    <v>258</v>
    <v>259</v>
    <v>242</v>
    <v>260</v>
    <v>261</v>
    <v>262</v>
    <v>EUR</v>
    <v>France, officially the French Republic, is a country located primarily in Western Europe. Its overseas regions and territories include French Guiana in South America, Saint Pierre and Miquelon in the North Atlantic, the French West Indies, and ...</v>
    <v>263</v>
    <v>264</v>
    <v>265</v>
    <v>266</v>
    <v>198</v>
    <v>267</v>
    <v>268</v>
    <v>269</v>
    <v>270</v>
    <v>271</v>
    <v>242</v>
    <v>274</v>
    <v>275</v>
    <v>276</v>
    <v>277</v>
    <v>133</v>
    <v>278</v>
    <v>France</v>
    <v>La Marseillaise</v>
    <v>279</v>
    <v>République française</v>
    <v>280</v>
    <v>281</v>
    <v>282</v>
    <v>283</v>
    <v>284</v>
    <v>285</v>
    <v>286</v>
    <v>287</v>
    <v>288</v>
    <v>289</v>
    <v>290</v>
    <v>315</v>
    <v>316</v>
    <v>317</v>
    <v>318</v>
    <v>319</v>
    <v>France</v>
    <v>320</v>
    <v>mdp/vdpid/84</v>
  </rv>
  <rv s="0">
    <v>536870912</v>
    <v>London</v>
    <v>8e0ba7b6-4225-fa8a-6369-1b5294e602a5</v>
    <v>en-GB</v>
    <v>Map</v>
  </rv>
  <rv s="0">
    <v>536870912</v>
    <v>England</v>
    <v>280d39e8-7217-6863-6980-a8c20c211c89</v>
    <v>en-GB</v>
    <v>Map</v>
  </rv>
  <rv s="0">
    <v>536870912</v>
    <v>Greater London</v>
    <v>2ba8a441-178c-f2c0-26cb-a4b260b8c806</v>
    <v>en-GB</v>
    <v>Map</v>
  </rv>
  <rv s="0">
    <v>536870912</v>
    <v>United Kingdom</v>
    <v>b1a5155a-6bb2-4646-8f7c-3e6b3a53c831</v>
    <v>en-GB</v>
    <v>Map</v>
  </rv>
  <rv s="1">
    <fb>51.500152399999997</fb>
    <v>9</v>
  </rv>
  <rv s="0">
    <v>805306368</v>
    <v>Sadiq Khan (Mayor)</v>
    <v>d7862dc2-4c03-1dc8-3412-7fe03041fdcb</v>
    <v>en-GB</v>
    <v>Generic</v>
  </rv>
  <rv s="3">
    <v>23</v>
  </rv>
  <rv s="1">
    <fb>-0.12623619999999999</fb>
    <v>9</v>
  </rv>
  <rv s="1">
    <fb>9002488</fb>
    <v>8</v>
  </rv>
  <rv s="3">
    <v>24</v>
  </rv>
  <rv s="11">
    <v>#VALUE!</v>
    <v>en-GB</v>
    <v>8e0ba7b6-4225-fa8a-6369-1b5294e602a5</v>
    <v>536870912</v>
    <v>1</v>
    <v>81</v>
    <v>82</v>
    <v>London</v>
    <v>84</v>
    <v>85</v>
    <v>Map</v>
    <v>6</v>
    <v>50</v>
    <v>323</v>
    <v>324</v>
    <v>3</v>
    <v>325</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326</v>
    <v>328</v>
    <v>8</v>
    <v>329</v>
    <v>London</v>
    <v>330</v>
    <v>331</v>
    <v>London</v>
    <v>mdp/vdpid/5471798185326280713</v>
  </rv>
  <rv s="1">
    <fb>0.71714878141404492</fb>
    <v>40</v>
  </rv>
  <rv s="1">
    <fb>243610</fb>
    <v>8</v>
  </rv>
  <rv s="1">
    <fb>148000</fb>
    <v>8</v>
  </rv>
  <rv s="1">
    <fb>11</fb>
    <v>16</v>
  </rv>
  <rv s="1">
    <fb>44</fb>
    <v>41</v>
  </rv>
  <rv s="1">
    <fb>379024.78700000001</fb>
    <v>8</v>
  </rv>
  <rv s="1">
    <fb>119.622711300166</fb>
    <v>42</v>
  </rv>
  <rv s="1">
    <fb>1.7381046008651101E-2</fb>
    <v>40</v>
  </rv>
  <rv s="1">
    <fb>5129.5277927901998</fb>
    <v>8</v>
  </rv>
  <rv s="1">
    <fb>1.68</fb>
    <v>16</v>
  </rv>
  <rv s="1">
    <fb>0.130657628239573</fb>
    <v>40</v>
  </rv>
  <rv s="1">
    <fb>80.351771267255202</fb>
    <v>43</v>
  </rv>
  <rv s="1">
    <fb>1.46</fb>
    <v>44</v>
  </rv>
  <rv s="1">
    <fb>2827113184695.5801</fb>
    <v>45</v>
  </rv>
  <rv s="1">
    <fb>1.0115456</fb>
    <v>40</v>
  </rv>
  <rv s="1">
    <fb>0.59995569999999998</fb>
    <v>40</v>
  </rv>
  <rv s="2">
    <v>10</v>
    <v>6</v>
    <v>97</v>
    <v>6</v>
    <v>0</v>
    <v>Image of United Kingdom</v>
  </rv>
  <rv s="1">
    <fb>3.6</fb>
    <v>43</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3">
    <v>25</v>
  </rv>
  <rv s="4">
    <v>https://www.bing.com/search?q=united+kingdom&amp;form=skydnc</v>
    <v>Learn more on Bing</v>
  </rv>
  <rv s="1">
    <fb>81.256097560975604</fb>
    <v>43</v>
  </rv>
  <rv s="1">
    <fb>1868152970000</fb>
    <v>45</v>
  </rv>
  <rv s="1">
    <fb>10.130000000000001</fb>
    <v>44</v>
  </rv>
  <rv s="3">
    <v>26</v>
  </rv>
  <rv s="1">
    <fb>0.14794489889999998</fb>
    <v>40</v>
  </rv>
  <rv s="1">
    <fb>2.8117000000000001</fb>
    <v>16</v>
  </rv>
  <rv s="1">
    <fb>66834405</fb>
    <v>8</v>
  </rv>
  <rv s="1">
    <fb>0.22500000000000001</fb>
    <v>40</v>
  </rv>
  <rv s="1">
    <fb>0.26800000000000002</fb>
    <v>40</v>
  </rv>
  <rv s="1">
    <fb>0.42100000000000004</fb>
    <v>40</v>
  </rv>
  <rv s="1">
    <fb>2.7999999999999997E-2</fb>
    <v>40</v>
  </rv>
  <rv s="1">
    <fb>7.0999999999999994E-2</fb>
    <v>40</v>
  </rv>
  <rv s="1">
    <fb>0.11900000000000001</fb>
    <v>40</v>
  </rv>
  <rv s="1">
    <fb>0.16399999999999998</fb>
    <v>40</v>
  </rv>
  <rv s="1">
    <fb>0.62773998260497998</fb>
    <v>40</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3">
    <v>27</v>
  </rv>
  <rv s="1">
    <fb>0.255052921600669</fb>
    <v>40</v>
  </rv>
  <rv s="3">
    <v>28</v>
  </rv>
  <rv s="1">
    <fb>0.30599999999999999</fb>
    <v>40</v>
  </rv>
  <rv s="1">
    <fb>3.8510000705719E-2</fb>
    <v>46</v>
  </rv>
  <rv s="1">
    <fb>55908316</fb>
    <v>8</v>
  </rv>
  <rv s="8">
    <v>#VALUE!</v>
    <v>en-GB</v>
    <v>b1a5155a-6bb2-4646-8f7c-3e6b3a53c831</v>
    <v>536870912</v>
    <v>1</v>
    <v>94</v>
    <v>38</v>
    <v>United Kingdom</v>
    <v>84</v>
    <v>95</v>
    <v>Map</v>
    <v>6</v>
    <v>96</v>
    <v>GB</v>
    <v>333</v>
    <v>334</v>
    <v>335</v>
    <v>336</v>
    <v>337</v>
    <v>322</v>
    <v>338</v>
    <v>339</v>
    <v>340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341</v>
    <v>342</v>
    <v>343</v>
    <v>344</v>
    <v>345</v>
    <v>346</v>
    <v>347</v>
    <v>348</v>
    <v>349</v>
    <v>350</v>
    <v>322</v>
    <v>355</v>
    <v>356</v>
    <v>357</v>
    <v>358</v>
    <v>209</v>
    <v>359</v>
    <v>United Kingdom</v>
    <v>God Save the Queen</v>
    <v>360</v>
    <v>United Kingdom of Great Britain and Northern Ireland</v>
    <v>361</v>
    <v>362</v>
    <v>363</v>
    <v>364</v>
    <v>365</v>
    <v>366</v>
    <v>367</v>
    <v>368</v>
    <v>369</v>
    <v>370</v>
    <v>371</v>
    <v>518</v>
    <v>519</v>
    <v>520</v>
    <v>521</v>
    <v>522</v>
    <v>United Kingdom</v>
    <v>523</v>
    <v>mdp/vdpid/242</v>
  </rv>
  <rv s="0">
    <v>536870912</v>
    <v>Madrid</v>
    <v>a497c067-c4c6-4bf4-9a5d-34fd30589bda</v>
    <v>en-GB</v>
    <v>Map</v>
  </rv>
  <rv s="0">
    <v>536870912</v>
    <v>Community of Madrid</v>
    <v>854c08ed-f6d7-c812-1a3f-46928ae0597e</v>
    <v>en-GB</v>
    <v>Map</v>
  </rv>
  <rv s="1">
    <fb>604.29999999999995</fb>
    <v>8</v>
  </rv>
  <rv s="0">
    <v>536870912</v>
    <v>Spain</v>
    <v>1baf9d59-f443-e9f4-6e49-de048a073e3f</v>
    <v>en-GB</v>
    <v>Map</v>
  </rv>
  <rv s="1">
    <fb>40.416690899999999</fb>
    <v>9</v>
  </rv>
  <rv s="0">
    <v>805306368</v>
    <v>Manuela Carmena (Mayor)</v>
    <v>22b84f13-a006-51f6-9168-1a4d6061ea2f</v>
    <v>en-GB</v>
    <v>Generic</v>
  </rv>
  <rv s="3">
    <v>29</v>
  </rv>
  <rv s="1">
    <fb>-3.7003453999999998</fb>
    <v>9</v>
  </rv>
  <rv s="1">
    <fb>3233527</fb>
    <v>8</v>
  </rv>
  <rv s="3">
    <v>30</v>
  </rv>
  <rv s="12">
    <v>#VALUE!</v>
    <v>en-GB</v>
    <v>a497c067-c4c6-4bf4-9a5d-34fd30589bda</v>
    <v>536870912</v>
    <v>1</v>
    <v>101</v>
    <v>102</v>
    <v>Madrid</v>
    <v>84</v>
    <v>85</v>
    <v>Map</v>
    <v>6</v>
    <v>103</v>
    <v>526</v>
    <v>527</v>
    <v>528</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529</v>
    <v>531</v>
    <v>34</v>
    <v>532</v>
    <v>Madrid</v>
    <v>533</v>
    <v>534</v>
    <v>Madrid</v>
    <v>mdp/vdpid/5669357583933112321</v>
  </rv>
  <rv s="1">
    <fb>505370</fb>
    <v>8</v>
  </rv>
  <rv s="2">
    <v>11</v>
    <v>6</v>
    <v>109</v>
    <v>6</v>
    <v>0</v>
    <v>Image of Spain</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3">
    <v>31</v>
  </rv>
  <rv s="3">
    <v>32</v>
  </rv>
  <rv s="1">
    <fb>47076781</fb>
    <v>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3">
    <v>33</v>
  </rv>
  <rv s="3">
    <v>34</v>
  </rv>
  <rv s="8">
    <v>#VALUE!</v>
    <v>en-GB</v>
    <v>1baf9d59-f443-e9f4-6e49-de048a073e3f</v>
    <v>536870912</v>
    <v>1</v>
    <v>107</v>
    <v>38</v>
    <v>Spain</v>
    <v>84</v>
    <v>95</v>
    <v>Map</v>
    <v>6</v>
    <v>108</v>
    <v>ES</v>
    <v>38</v>
    <v>536</v>
    <v>40</v>
    <v>41</v>
    <v>42</v>
    <v>525</v>
    <v>43</v>
    <v>44</v>
    <v>45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46</v>
    <v>47</v>
    <v>48</v>
    <v>49</v>
    <v>50</v>
    <v>51</v>
    <v>52</v>
    <v>53</v>
    <v>537</v>
    <v>55</v>
    <v>525</v>
    <v>541</v>
    <v>59</v>
    <v>60</v>
    <v>61</v>
    <v>62</v>
    <v>63</v>
    <v>Spain</v>
    <v>Marcha Real</v>
    <v>542</v>
    <v>Spain</v>
    <v>65</v>
    <v>66</v>
    <v>543</v>
    <v>68</v>
    <v>69</v>
    <v>70</v>
    <v>71</v>
    <v>72</v>
    <v>73</v>
    <v>74</v>
    <v>75</v>
    <v>586</v>
    <v>94</v>
    <v>587</v>
    <v>96</v>
    <v>97</v>
    <v>Spain</v>
    <v>98</v>
    <v>mdp/vdpid/217</v>
  </rv>
  <rv s="0">
    <v>536870912</v>
    <v>Lisbon</v>
    <v>9d006cb5-bff4-48b4-9c83-443eaf418b11</v>
    <v>en-GB</v>
    <v>Map</v>
  </rv>
  <rv s="0">
    <v>536870912</v>
    <v>Lisbon District</v>
    <v>9aabe4c9-f2ff-745a-22b7-741589d147d3</v>
    <v>en-GB</v>
    <v>Map</v>
  </rv>
  <rv s="0">
    <v>536870912</v>
    <v>Portugal</v>
    <v>9e917e65-c588-a0b7-f336-52fc6b5b2052</v>
    <v>en-GB</v>
    <v>Map</v>
  </rv>
  <rv s="2">
    <v>12</v>
    <v>6</v>
    <v>117</v>
    <v>6</v>
    <v>0</v>
    <v>Image of Lisbon</v>
  </rv>
  <rv s="1">
    <fb>544851</fb>
    <v>8</v>
  </rv>
  <rv s="3">
    <v>35</v>
  </rv>
  <rv s="13">
    <v>#VALUE!</v>
    <v>en-GB</v>
    <v>9d006cb5-bff4-48b4-9c83-443eaf418b11</v>
    <v>536870912</v>
    <v>1</v>
    <v>114</v>
    <v>115</v>
    <v>Lisbon</v>
    <v>116</v>
    <v>95</v>
    <v>Map</v>
    <v>6</v>
    <v>50</v>
    <v>590</v>
    <v>102</v>
    <v>591</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592</v>
    <v>105</v>
    <v>Lisbon</v>
    <v>593</v>
    <v>594</v>
    <v>Lisbon</v>
    <v>mdp/vdpid/161498680</v>
  </rv>
  <rv s="1">
    <fb>92212</fb>
    <v>8</v>
  </rv>
  <rv s="2">
    <v>13</v>
    <v>6</v>
    <v>123</v>
    <v>6</v>
    <v>0</v>
    <v>Image of Portugal</v>
  </rv>
  <rv s="0">
    <v>805306368</v>
    <v>António Costa (Prime Minister)</v>
    <v>461f25f6-d38c-4199-a2e3-c82f6d34e8cb</v>
    <v>en-GB</v>
    <v>Generic</v>
  </rv>
  <rv s="0">
    <v>805306368</v>
    <v>Marcelo Rebelo de Sousa (President)</v>
    <v>cd15af88-d571-7e9f-0e69-8c7f54821ed3</v>
    <v>en-GB</v>
    <v>Generic</v>
  </rv>
  <rv s="3">
    <v>36</v>
  </rv>
  <rv s="3">
    <v>37</v>
  </rv>
  <rv s="1">
    <fb>10269417</fb>
    <v>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3">
    <v>38</v>
  </rv>
  <rv s="3">
    <v>39</v>
  </rv>
  <rv s="8">
    <v>#VALUE!</v>
    <v>en-GB</v>
    <v>9e917e65-c588-a0b7-f336-52fc6b5b2052</v>
    <v>536870912</v>
    <v>1</v>
    <v>121</v>
    <v>38</v>
    <v>Portugal</v>
    <v>84</v>
    <v>95</v>
    <v>Map</v>
    <v>6</v>
    <v>122</v>
    <v>PT</v>
    <v>108</v>
    <v>596</v>
    <v>110</v>
    <v>111</v>
    <v>112</v>
    <v>589</v>
    <v>113</v>
    <v>114</v>
    <v>115</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116</v>
    <v>117</v>
    <v>118</v>
    <v>119</v>
    <v>120</v>
    <v>121</v>
    <v>122</v>
    <v>123</v>
    <v>597</v>
    <v>125</v>
    <v>589</v>
    <v>600</v>
    <v>130</v>
    <v>131</v>
    <v>132</v>
    <v>133</v>
    <v>134</v>
    <v>Portugal</v>
    <v>A Portuguesa</v>
    <v>601</v>
    <v>Portugal</v>
    <v>136</v>
    <v>137</v>
    <v>602</v>
    <v>139</v>
    <v>140</v>
    <v>141</v>
    <v>142</v>
    <v>143</v>
    <v>144</v>
    <v>145</v>
    <v>146</v>
    <v>622</v>
    <v>167</v>
    <v>623</v>
    <v>169</v>
    <v>170</v>
    <v>Portugal</v>
    <v>171</v>
    <v>mdp/vdpid/193</v>
  </rv>
  <rv s="0">
    <v>536870912</v>
    <v>Berlin</v>
    <v>42784943-7c23-7672-5527-06f89b965cdf</v>
    <v>en-GB</v>
    <v>Map</v>
  </rv>
  <rv s="1">
    <fb>891.85</fb>
    <v>8</v>
  </rv>
  <rv s="0">
    <v>536870912</v>
    <v>Germany</v>
    <v>75c62d8e-1449-4e4d-b188-d9e88f878dd9</v>
    <v>en-GB</v>
    <v>Map</v>
  </rv>
  <rv s="0">
    <v>805306368</v>
    <v>Franziska Giffey (Mayor)</v>
    <v>0f36a115-cd69-74b0-1ad8-5ee6074d7916</v>
    <v>en-GB</v>
    <v>Generic</v>
  </rv>
  <rv s="3">
    <v>40</v>
  </rv>
  <rv s="1">
    <fb>3769495</fb>
    <v>8</v>
  </rv>
  <rv s="3">
    <v>41</v>
  </rv>
  <rv s="14">
    <v>#VALUE!</v>
    <v>en-GB</v>
    <v>42784943-7c23-7672-5527-06f89b965cdf</v>
    <v>536870912</v>
    <v>1</v>
    <v>126</v>
    <v>127</v>
    <v>Berlin</v>
    <v>84</v>
    <v>85</v>
    <v>Map</v>
    <v>6</v>
    <v>128</v>
    <v>DE-BE</v>
    <v>626</v>
    <v>627</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176</v>
    <v>177</v>
    <v>629</v>
    <v>181</v>
    <v>Berlin</v>
    <v>183</v>
    <v>630</v>
    <v>631</v>
    <v>Berlin</v>
    <v>mdp/vdpid/7017957146650214401</v>
  </rv>
  <rv s="1">
    <fb>357022</fb>
    <v>8</v>
  </rv>
  <rv s="2">
    <v>14</v>
    <v>6</v>
    <v>135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3">
    <v>42</v>
  </rv>
  <rv s="3">
    <v>43</v>
  </rv>
  <rv s="1">
    <fb>83132799</fb>
    <v>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3">
    <v>44</v>
  </rv>
  <rv s="3">
    <v>45</v>
  </rv>
  <rv s="8">
    <v>#VALUE!</v>
    <v>en-GB</v>
    <v>75c62d8e-1449-4e4d-b188-d9e88f878dd9</v>
    <v>536870912</v>
    <v>1</v>
    <v>133</v>
    <v>38</v>
    <v>Germany</v>
    <v>84</v>
    <v>95</v>
    <v>Map</v>
    <v>6</v>
    <v>134</v>
    <v>DE</v>
    <v>186</v>
    <v>633</v>
    <v>188</v>
    <v>189</v>
    <v>190</v>
    <v>625</v>
    <v>191</v>
    <v>192</v>
    <v>193</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194</v>
    <v>195</v>
    <v>196</v>
    <v>197</v>
    <v>198</v>
    <v>199</v>
    <v>200</v>
    <v>201</v>
    <v>634</v>
    <v>125</v>
    <v>625</v>
    <v>638</v>
    <v>206</v>
    <v>207</v>
    <v>208</v>
    <v>209</v>
    <v>210</v>
    <v>Germany</v>
    <v>Deutschlandlied</v>
    <v>639</v>
    <v>Federal Republic of Germany</v>
    <v>211</v>
    <v>212</v>
    <v>640</v>
    <v>214</v>
    <v>215</v>
    <v>216</v>
    <v>217</v>
    <v>218</v>
    <v>219</v>
    <v>220</v>
    <v>221</v>
    <v>655</v>
    <v>237</v>
    <v>656</v>
    <v>238</v>
    <v>239</v>
    <v>Germany</v>
    <v>240</v>
    <v>mdp/vdpid/94</v>
  </rv>
  <rv s="0">
    <v>536870912</v>
    <v>Paris</v>
    <v>85584d24-2116-5b98-89f9-5714db931ac6</v>
    <v>en-GB</v>
    <v>Map</v>
  </rv>
  <rv s="0">
    <v>536870912</v>
    <v>Île-de-France</v>
    <v>ba200862-fc37-6d22-3434-c6e709faa507</v>
    <v>en-GB</v>
    <v>Map</v>
  </rv>
  <rv s="0">
    <v>536870912</v>
    <v>France</v>
    <v>c7bfe2de-4f82-e23c-ae42-8544b5b5c0ea</v>
    <v>en-GB</v>
    <v>Map</v>
  </rv>
  <rv s="1">
    <fb>48.856895000000002</fb>
    <v>9</v>
  </rv>
  <rv s="0">
    <v>805306368</v>
    <v>Anne Hidalgo (Mayor)</v>
    <v>f26212ed-b25d-e4f8-ecf0-85777b9d38cf</v>
    <v>en-GB</v>
    <v>Generic</v>
  </rv>
  <rv s="3">
    <v>46</v>
  </rv>
  <rv s="1">
    <fb>2.3508486999999998</fb>
    <v>9</v>
  </rv>
  <rv s="1">
    <fb>2244000</fb>
    <v>8</v>
  </rv>
  <rv s="12">
    <v>#VALUE!</v>
    <v>en-GB</v>
    <v>85584d24-2116-5b98-89f9-5714db931ac6</v>
    <v>536870912</v>
    <v>1</v>
    <v>141</v>
    <v>102</v>
    <v>Paris</v>
    <v>84</v>
    <v>85</v>
    <v>Map</v>
    <v>6</v>
    <v>142</v>
    <v>659</v>
    <v>245</v>
    <v>660</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661</v>
    <v>663</v>
    <v>251</v>
    <v>664</v>
    <v>Paris</v>
    <v>665</v>
    <v>534</v>
    <v>Paris</v>
    <v>mdp/vdpid/7012570570818584578</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3">
    <v>47</v>
  </rv>
  <rv s="3">
    <v>48</v>
  </rv>
  <rv s="1">
    <fb>67059887</fb>
    <v>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3">
    <v>49</v>
  </rv>
  <rv s="15">
    <v>#VALUE!</v>
    <v>en-GB</v>
    <v>c7bfe2de-4f82-e23c-ae42-8544b5b5c0ea</v>
    <v>536870912</v>
    <v>1</v>
    <v>146</v>
    <v>147</v>
    <v>France</v>
    <v>84</v>
    <v>85</v>
    <v>Map</v>
    <v>6</v>
    <v>148</v>
    <v>FR</v>
    <v>255</v>
    <v>256</v>
    <v>257</v>
    <v>258</v>
    <v>259</v>
    <v>658</v>
    <v>260</v>
    <v>261</v>
    <v>262</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263</v>
    <v>264</v>
    <v>265</v>
    <v>266</v>
    <v>198</v>
    <v>267</v>
    <v>268</v>
    <v>269</v>
    <v>271</v>
    <v>658</v>
    <v>673</v>
    <v>275</v>
    <v>276</v>
    <v>277</v>
    <v>133</v>
    <v>278</v>
    <v>France</v>
    <v>La Marseillaise</v>
    <v>674</v>
    <v>French Republic</v>
    <v>280</v>
    <v>281</v>
    <v>675</v>
    <v>283</v>
    <v>284</v>
    <v>285</v>
    <v>286</v>
    <v>287</v>
    <v>288</v>
    <v>289</v>
    <v>290</v>
    <v>789</v>
    <v>316</v>
    <v>656</v>
    <v>318</v>
    <v>319</v>
    <v>France</v>
    <v>320</v>
    <v>mdp/vdpid/84</v>
  </rv>
  <rv s="3">
    <v>50</v>
  </rv>
  <rv s="3">
    <v>51</v>
  </rv>
  <rv s="16">
    <v>{67D38B42-8B28-4CFA-B018-D22F9D10AE1A}</v>
    <v>0</v>
    <v>149</v>
    <v>791</v>
    <v>792</v>
  </rv>
</rvData>
</file>

<file path=xl/richData/rdrichvaluestructure.xml><?xml version="1.0" encoding="utf-8"?>
<rvStructures xmlns="http://schemas.microsoft.com/office/spreadsheetml/2017/richdata" count="1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datasourcecontainer">
    <k n="%XLUID" t="s"/>
    <k n="_CRID" t="i"/>
    <k n="_Display" t="spb"/>
    <k n="City" t="r"/>
    <k n="Country/region" t="r"/>
  </s>
</rvStructures>
</file>

<file path=xl/richData/rdsupportingpropertybag.xml><?xml version="1.0" encoding="utf-8"?>
<supportingPropertyBags xmlns="http://schemas.microsoft.com/office/spreadsheetml/2017/richdata2">
  <spbArrays count="1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
      <v t="s">City</v>
      <v t="s">Country/region</v>
      <v t="s">_CRID</v>
      <v t="s">%XLUID</v>
      <v t="s">_Display</v>
    </a>
  </spbArrays>
  <spbData count="150">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9">
      <v>10</v>
      <v>10</v>
      <v>11</v>
      <v>10</v>
      <v>10</v>
      <v>10</v>
      <v>12</v>
      <v>10</v>
      <v>11</v>
      <v>10</v>
      <v>10</v>
      <v>11</v>
    </spb>
    <spb s="2">
      <v>1</v>
      <v>Name</v>
      <v>LearnMoreOnLink</v>
    </spb>
    <spb s="10">
      <v>square km</v>
      <v>2011</v>
      <v>2022</v>
      <v>2011</v>
      <v>2011</v>
    </spb>
    <spb s="8">
      <v>5</v>
    </spb>
    <spb s="0">
      <v xml:space="preserve">Wikipedia	</v>
      <v xml:space="preserve">CC BY-SA 3.0	</v>
      <v xml:space="preserve">https://en.wikipedia.org/wiki/Madrid	</v>
      <v xml:space="preserve">https://creativecommons.org/licenses/by-sa/3.0	</v>
    </spb>
    <spb s="11">
      <v>17</v>
      <v>17</v>
      <v>17</v>
      <v>17</v>
      <v>17</v>
      <v>17</v>
      <v>17</v>
      <v>17</v>
      <v>17</v>
    </spb>
    <spb s="2">
      <v>2</v>
      <v>Name</v>
      <v>LearnMoreOnLink</v>
    </spb>
    <spb s="7">
      <v>square km</v>
      <v>2023</v>
    </spb>
    <spb s="0">
      <v xml:space="preserve">data.worldbank.org	</v>
      <v xml:space="preserve">	</v>
      <v xml:space="preserve">http://data.worldbank.org/indicator/FP.CPI.TOTL	</v>
      <v xml:space="preserve">	</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2">
      <v>21</v>
      <v>22</v>
      <v>23</v>
      <v>23</v>
      <v>24</v>
      <v>23</v>
      <v>23</v>
      <v>23</v>
      <v>25</v>
      <v>23</v>
      <v>23</v>
      <v>25</v>
      <v>23</v>
      <v>23</v>
      <v>26</v>
      <v>27</v>
      <v>22</v>
      <v>26</v>
      <v>28</v>
      <v>23</v>
      <v>26</v>
      <v>29</v>
      <v>30</v>
      <v>31</v>
      <v>26</v>
      <v>26</v>
      <v>23</v>
      <v>26</v>
      <v>32</v>
      <v>33</v>
      <v>34</v>
      <v>35</v>
      <v>26</v>
      <v>22</v>
      <v>26</v>
      <v>26</v>
      <v>26</v>
      <v>26</v>
      <v>26</v>
      <v>26</v>
      <v>26</v>
      <v>26</v>
      <v>26</v>
      <v>26</v>
      <v>36</v>
    </spb>
    <spb s="2">
      <v>3</v>
      <v>Name</v>
      <v>LearnMoreOnLink</v>
    </spb>
    <spb s="13">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8">
      <v>6</v>
    </spb>
    <spb s="8">
      <v>7</v>
    </spb>
    <spb s="8">
      <v>8</v>
    </spb>
    <spb s="8">
      <v>9</v>
    </spb>
    <spb s="8">
      <v>10</v>
    </spb>
    <spb s="8">
      <v>11</v>
    </spb>
    <spb s="8">
      <v>12</v>
    </spb>
    <spb s="0">
      <v xml:space="preserve">Wikipedia	</v>
      <v xml:space="preserve">CC BY-SA 3.0	</v>
      <v xml:space="preserve">https://en.wikipedia.org/wiki/Lisbon	</v>
      <v xml:space="preserve">https://creativecommons.org/licenses/by-sa/3.0	</v>
    </spb>
    <spb s="14">
      <v>47</v>
      <v>47</v>
      <v>47</v>
      <v>47</v>
      <v>47</v>
      <v>47</v>
      <v>47</v>
    </spb>
    <spb s="2">
      <v>4</v>
      <v>Name</v>
      <v>LearnMoreOnLink</v>
    </spb>
    <spb s="7">
      <v>square km</v>
      <v>2021</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2">
      <v>21</v>
      <v>51</v>
      <v>52</v>
      <v>52</v>
      <v>24</v>
      <v>52</v>
      <v>52</v>
      <v>52</v>
      <v>53</v>
      <v>52</v>
      <v>52</v>
      <v>53</v>
      <v>52</v>
      <v>52</v>
      <v>54</v>
      <v>27</v>
      <v>51</v>
      <v>54</v>
      <v>28</v>
      <v>52</v>
      <v>54</v>
      <v>29</v>
      <v>30</v>
      <v>31</v>
      <v>54</v>
      <v>54</v>
      <v>52</v>
      <v>54</v>
      <v>32</v>
      <v>33</v>
      <v>34</v>
      <v>35</v>
      <v>54</v>
      <v>51</v>
      <v>54</v>
      <v>54</v>
      <v>54</v>
      <v>54</v>
      <v>54</v>
      <v>54</v>
      <v>54</v>
      <v>54</v>
      <v>54</v>
      <v>54</v>
      <v>36</v>
    </spb>
    <spb s="13">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5">
      <v>57</v>
      <v>57</v>
      <v>58</v>
      <v>57</v>
      <v>57</v>
      <v>57</v>
      <v>59</v>
      <v>58</v>
      <v>57</v>
      <v>58</v>
    </spb>
    <spb s="2">
      <v>5</v>
      <v>Name</v>
      <v>LearnMoreOnLink</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2">
      <v>21</v>
      <v>62</v>
      <v>63</v>
      <v>63</v>
      <v>24</v>
      <v>63</v>
      <v>63</v>
      <v>63</v>
      <v>64</v>
      <v>63</v>
      <v>63</v>
      <v>64</v>
      <v>63</v>
      <v>63</v>
      <v>65</v>
      <v>27</v>
      <v>62</v>
      <v>65</v>
      <v>28</v>
      <v>63</v>
      <v>65</v>
      <v>29</v>
      <v>30</v>
      <v>31</v>
      <v>65</v>
      <v>65</v>
      <v>63</v>
      <v>65</v>
      <v>32</v>
      <v>33</v>
      <v>34</v>
      <v>35</v>
      <v>65</v>
      <v>62</v>
      <v>65</v>
      <v>65</v>
      <v>65</v>
      <v>65</v>
      <v>65</v>
      <v>65</v>
      <v>65</v>
      <v>65</v>
      <v>65</v>
      <v>65</v>
      <v>36</v>
    </spb>
    <spb s="13">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https://en.wikipedia.org/wiki/Paris	</v>
      <v xml:space="preserve">https://creativecommons.org/licenses/by-sa/3.0	</v>
    </spb>
    <spb s="1">
      <v>68</v>
      <v>68</v>
      <v>68</v>
      <v>68</v>
      <v>68</v>
      <v>68</v>
      <v>68</v>
      <v>68</v>
      <v>68</v>
      <v>68</v>
    </spb>
    <spb s="7">
      <v>square km</v>
      <v>2025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2">
      <v>21</v>
      <v>71</v>
      <v>72</v>
      <v>72</v>
      <v>24</v>
      <v>72</v>
      <v>72</v>
      <v>72</v>
      <v>73</v>
      <v>72</v>
      <v>72</v>
      <v>73</v>
      <v>72</v>
      <v>72</v>
      <v>74</v>
      <v>27</v>
      <v>71</v>
      <v>74</v>
      <v>28</v>
      <v>72</v>
      <v>74</v>
      <v>29</v>
      <v>30</v>
      <v>31</v>
      <v>74</v>
      <v>74</v>
      <v>72</v>
      <v>74</v>
      <v>32</v>
      <v>33</v>
      <v>34</v>
      <v>35</v>
      <v>74</v>
      <v>71</v>
      <v>74</v>
      <v>74</v>
      <v>74</v>
      <v>74</v>
      <v>74</v>
      <v>74</v>
      <v>74</v>
      <v>74</v>
      <v>74</v>
      <v>74</v>
      <v>36</v>
    </spb>
    <spb s="13">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6">
      <v>77</v>
      <v>78</v>
      <v>77</v>
      <v>78</v>
      <v>77</v>
      <v>79</v>
      <v>80</v>
      <v>77</v>
    </spb>
    <spb s="2">
      <v>6</v>
      <v>Name</v>
      <v>LearnMoreOnLink</v>
    </spb>
    <spb s="17">
      <v>0</v>
      <v>0</v>
    </spb>
    <spb s="18">
      <v>3</v>
      <v>3</v>
      <v>83</v>
      <v>3</v>
    </spb>
    <spb s="19">
      <v>1</v>
      <v>13</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20">
      <v>21</v>
      <v>86</v>
      <v>87</v>
      <v>88</v>
      <v>24</v>
      <v>89</v>
      <v>88</v>
      <v>90</v>
      <v>90</v>
      <v>91</v>
      <v>92</v>
      <v>90</v>
      <v>90</v>
      <v>87</v>
      <v>27</v>
      <v>86</v>
      <v>87</v>
      <v>28</v>
      <v>93</v>
      <v>87</v>
      <v>29</v>
      <v>30</v>
      <v>31</v>
      <v>87</v>
      <v>87</v>
      <v>92</v>
      <v>87</v>
      <v>32</v>
      <v>33</v>
      <v>34</v>
      <v>35</v>
      <v>87</v>
      <v>86</v>
      <v>87</v>
      <v>87</v>
      <v>87</v>
      <v>87</v>
      <v>87</v>
      <v>87</v>
      <v>87</v>
      <v>87</v>
      <v>87</v>
      <v>87</v>
      <v>36</v>
    </spb>
    <spb s="21">
      <v>1</v>
      <v>2</v>
      <v>13</v>
    </spb>
    <spb s="13">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4">
      <v>98</v>
      <v>99</v>
      <v>98</v>
      <v>99</v>
      <v>98</v>
      <v>100</v>
      <v>98</v>
    </spb>
    <spb s="2">
      <v>7</v>
      <v>Name</v>
      <v>LearnMoreOnLink</v>
    </spb>
    <spb s="7">
      <v>square km</v>
      <v>2012</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20">
      <v>21</v>
      <v>22</v>
      <v>26</v>
      <v>104</v>
      <v>24</v>
      <v>89</v>
      <v>104</v>
      <v>25</v>
      <v>25</v>
      <v>105</v>
      <v>106</v>
      <v>25</v>
      <v>25</v>
      <v>26</v>
      <v>27</v>
      <v>22</v>
      <v>26</v>
      <v>28</v>
      <v>25</v>
      <v>26</v>
      <v>29</v>
      <v>30</v>
      <v>31</v>
      <v>26</v>
      <v>26</v>
      <v>106</v>
      <v>26</v>
      <v>32</v>
      <v>33</v>
      <v>34</v>
      <v>35</v>
      <v>26</v>
      <v>22</v>
      <v>26</v>
      <v>26</v>
      <v>26</v>
      <v>26</v>
      <v>26</v>
      <v>26</v>
      <v>26</v>
      <v>26</v>
      <v>26</v>
      <v>26</v>
      <v>36</v>
    </spb>
    <spb s="13">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4">
      <v>110</v>
      <v>111</v>
      <v>111</v>
      <v>111</v>
      <v>111</v>
      <v>112</v>
      <v>113</v>
    </spb>
    <spb s="2">
      <v>8</v>
      <v>Name</v>
      <v>LearnMoreOnLink</v>
    </spb>
    <spb s="22">
      <v>3</v>
      <v>3</v>
      <v>83</v>
      <v>3</v>
      <v>3</v>
    </spb>
    <spb s="0">
      <v xml:space="preserve">Wikipedia	</v>
      <v xml:space="preserve">CC-BY-SA-3.0	</v>
      <v xml:space="preserve">http://de.wikipedia.org/wiki/Lissabon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12">
      <v>21</v>
      <v>51</v>
      <v>53</v>
      <v>118</v>
      <v>24</v>
      <v>89</v>
      <v>118</v>
      <v>53</v>
      <v>53</v>
      <v>119</v>
      <v>120</v>
      <v>53</v>
      <v>53</v>
      <v>53</v>
      <v>54</v>
      <v>27</v>
      <v>51</v>
      <v>54</v>
      <v>28</v>
      <v>53</v>
      <v>54</v>
      <v>29</v>
      <v>30</v>
      <v>31</v>
      <v>54</v>
      <v>54</v>
      <v>120</v>
      <v>54</v>
      <v>32</v>
      <v>33</v>
      <v>34</v>
      <v>35</v>
      <v>54</v>
      <v>51</v>
      <v>54</v>
      <v>54</v>
      <v>54</v>
      <v>54</v>
      <v>54</v>
      <v>54</v>
      <v>54</v>
      <v>54</v>
      <v>54</v>
      <v>54</v>
      <v>36</v>
    </spb>
    <spb s="13">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5">
      <v>59</v>
      <v>124</v>
      <v>58</v>
      <v>59</v>
      <v>124</v>
      <v>59</v>
      <v>59</v>
      <v>58</v>
      <v>125</v>
      <v>58</v>
    </spb>
    <spb s="2">
      <v>9</v>
      <v>Name</v>
      <v>LearnMoreOnLink</v>
    </spb>
    <spb s="10">
      <v>square km</v>
      <v>2011</v>
      <v>2020</v>
      <v>2011</v>
      <v>2011</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12">
      <v>21</v>
      <v>62</v>
      <v>129</v>
      <v>130</v>
      <v>24</v>
      <v>89</v>
      <v>130</v>
      <v>64</v>
      <v>64</v>
      <v>129</v>
      <v>131</v>
      <v>64</v>
      <v>64</v>
      <v>132</v>
      <v>65</v>
      <v>27</v>
      <v>62</v>
      <v>65</v>
      <v>28</v>
      <v>64</v>
      <v>65</v>
      <v>29</v>
      <v>30</v>
      <v>31</v>
      <v>65</v>
      <v>65</v>
      <v>131</v>
      <v>65</v>
      <v>32</v>
      <v>33</v>
      <v>34</v>
      <v>35</v>
      <v>65</v>
      <v>62</v>
      <v>65</v>
      <v>65</v>
      <v>65</v>
      <v>65</v>
      <v>65</v>
      <v>65</v>
      <v>65</v>
      <v>65</v>
      <v>65</v>
      <v>65</v>
      <v>36</v>
    </spb>
    <spb s="13">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23">
      <v>136</v>
      <v>137</v>
      <v>137</v>
      <v>138</v>
      <v>139</v>
      <v>140</v>
    </spb>
    <spb s="7">
      <v>square km</v>
      <v>2015</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24">
      <v>21</v>
      <v>71</v>
      <v>143</v>
      <v>144</v>
      <v>24</v>
      <v>89</v>
      <v>144</v>
      <v>73</v>
      <v>73</v>
      <v>143</v>
      <v>145</v>
      <v>73</v>
      <v>74</v>
      <v>27</v>
      <v>71</v>
      <v>74</v>
      <v>28</v>
      <v>73</v>
      <v>74</v>
      <v>29</v>
      <v>30</v>
      <v>31</v>
      <v>74</v>
      <v>74</v>
      <v>145</v>
      <v>74</v>
      <v>32</v>
      <v>33</v>
      <v>34</v>
      <v>35</v>
      <v>74</v>
      <v>71</v>
      <v>74</v>
      <v>74</v>
      <v>74</v>
      <v>74</v>
      <v>74</v>
      <v>74</v>
      <v>74</v>
      <v>74</v>
      <v>74</v>
      <v>74</v>
      <v>36</v>
    </spb>
    <spb s="2">
      <v>10</v>
      <v>Name</v>
      <v>LearnMoreOnLink</v>
    </spb>
    <spb s="13">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25">
      <v>11</v>
    </spb>
  </spbData>
</supportingPropertyBags>
</file>

<file path=xl/richData/rdsupportingpropertybagstructure.xml><?xml version="1.0" encoding="utf-8"?>
<spbStructures xmlns="http://schemas.microsoft.com/office/spreadsheetml/2017/richdata2" count="26">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pb"/>
    <k n="Name" t="spb"/>
    <k n="Population" t="spb"/>
    <k n="UniqueName" t="spb"/>
    <k n="Description" t="spb"/>
    <k n="Country/region" t="spb"/>
    <k n="Admin Division 1 (State/province/other)" t="spb"/>
    <k n="Admin Division 2 (County/district/other)" t="spb"/>
  </s>
  <s>
    <k n="ShowInDotNotation" t="b"/>
    <k n="ShowInAutoComplete" t="b"/>
  </s>
  <s>
    <k n="UniqueName" t="spb"/>
    <k n="VDPID/VSID" t="spb"/>
    <k n="Description" t="spb"/>
    <k n="LearnMoreOnLink" t="spb"/>
  </s>
  <s>
    <k n="Name" t="i"/>
    <k n="Description"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UniqueName" t="spb"/>
    <k n="VDPID/VSID" t="spb"/>
    <k n="Description" t="spb"/>
    <k n="Time zone(s)" t="spb"/>
    <k n="LearnMoreOnLink" t="spb"/>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Pr n="RequiresInlineAttribution" t="b"/>
  </richProperties>
  <richStyles>
    <rSty>
      <rpv i="0">1</rpv>
    </rSty>
    <rSty>
      <rpv i="1">1</rpv>
    </rSty>
    <rSty dxfid="1">
      <rpv i="2">#,##0</rpv>
    </rSty>
    <rSty dxfid="5">
      <rpv i="2">0.0000</rpv>
    </rSty>
    <rSty dxfid="2">
      <rpv i="2">0.00</rpv>
    </rSty>
    <rSty dxfid="0">
      <rpv i="2">0.0%</rpv>
    </rSty>
    <rSty dxfid="3">
      <rpv i="2">0</rpv>
    </rSty>
    <rSty dxfid="4">
      <rpv i="2">#,##0.00</rpv>
    </rSty>
    <rSty dxfid="5">
      <rpv i="2">0.0</rpv>
    </rSty>
    <rSty dxfid="5">
      <rpv i="2">_([$$-en-US]* #,##0.00_);_([$$-en-US]* (#,##0.00);_([$$-en-US]* "-"??_);_(@_)</rpv>
    </rSty>
    <rSty dxfid="5">
      <rpv i="2">_([$$-en-US]* #,##0_);_([$$-en-US]* (#,##0);_([$$-en-US]* "-"_);_(@_)</rpv>
    </rSty>
    <rSty dxfid="0"/>
    <rSty>
      <rpv i="3">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F72388-05CF-4343-A607-341FEAADF805}" name="Table2" displayName="Table2" ref="B2:L259" totalsRowShown="0" headerRowDxfId="2">
  <autoFilter ref="B2:L259" xr:uid="{1EF72388-05CF-4343-A607-341FEAADF805}"/>
  <tableColumns count="11">
    <tableColumn id="1" xr3:uid="{21E35E6C-1B6E-4231-9693-53475B7AA607}" name="Order ID" dataDxfId="7"/>
    <tableColumn id="2" xr3:uid="{E13104E0-F912-4441-8122-F1E38A6AD2DC}" name="Date" dataDxfId="6"/>
    <tableColumn id="3" xr3:uid="{25F6C889-1E97-4062-A9F0-4303072A8319}" name="Product"/>
    <tableColumn id="4" xr3:uid="{E9AECB3E-444D-46AD-B03E-0DADEEE0E3F8}" name="Price" dataDxfId="5"/>
    <tableColumn id="6" xr3:uid="{8993E885-D1D9-4F50-A57C-B94998FCEAC8}" name="Purchase Type" dataDxfId="4"/>
    <tableColumn id="7" xr3:uid="{7EF3282E-B55B-4E17-93CF-615DE1599C1F}" name="Payment Method" dataDxfId="3"/>
    <tableColumn id="9" xr3:uid="{73B7C5ED-638D-427E-86FA-08C45088D4D5}" name="Manager"/>
    <tableColumn id="11" xr3:uid="{66157A79-4C55-4CFA-BB1B-7F406F825512}" name="Quantity2" dataDxfId="1"/>
    <tableColumn id="10" xr3:uid="{3796CA83-E595-4A33-98AD-5898DF73C92C}" name="City"/>
    <tableColumn id="12" xr3:uid="{24EDE3C7-3F96-4640-8343-0EE64591FFE8}" name="Country/region">
      <calculatedColumnFormula array="1">_FV(Table2[[#This Row],[City]],"Country/region",TRUE)</calculatedColumnFormula>
    </tableColumn>
    <tableColumn id="14" xr3:uid="{372AA4ED-ACBF-4C3F-B1DD-2B99EED56363}" name="Revenue" dataDxfId="0">
      <calculatedColumnFormula>Table2[[#This Row],[Quantity2]]*Table2[[#This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14">
  <autoFilter ref="B2:M256" xr:uid="{CD828420-2A6D-014A-88B1-2BABA3BA0542}"/>
  <tableColumns count="12">
    <tableColumn id="1" xr3:uid="{10C0F244-483F-4A49-B3E1-49B616F196C1}" name="Order ID" dataDxfId="13"/>
    <tableColumn id="2" xr3:uid="{B235E101-74E6-5142-B134-5985F87CF2C6}" name="Date" dataDxfId="12"/>
    <tableColumn id="3" xr3:uid="{088D2698-CC16-384A-AC92-4BBA913E871B}" name="Product"/>
    <tableColumn id="4" xr3:uid="{774386CA-C236-0B40-B729-491CD51B3277}" name="Price" dataDxfId="11"/>
    <tableColumn id="5" xr3:uid="{50AC1BB4-99E7-AC4F-A7F9-302247587674}" name="Quantity" dataDxfId="10"/>
    <tableColumn id="6" xr3:uid="{428F1872-246B-6B47-9CB3-7AC4B776FA81}" name="Cost" dataDxfId="9"/>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8">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J264"/>
  <sheetViews>
    <sheetView workbookViewId="0"/>
  </sheetViews>
  <sheetFormatPr defaultColWidth="10.69921875" defaultRowHeight="15.6" x14ac:dyDescent="0.3"/>
  <cols>
    <col min="4" max="4" width="12.296875" customWidth="1"/>
    <col min="7" max="7" width="13" bestFit="1" customWidth="1"/>
    <col min="8" max="8" width="15.296875" bestFit="1" customWidth="1"/>
    <col min="9" max="9" width="15.19921875" bestFit="1" customWidth="1"/>
  </cols>
  <sheetData>
    <row r="2" spans="2:10" x14ac:dyDescent="0.3">
      <c r="B2" s="1" t="s">
        <v>0</v>
      </c>
      <c r="C2" s="1" t="s">
        <v>1</v>
      </c>
      <c r="D2" s="1" t="s">
        <v>2</v>
      </c>
      <c r="E2" s="2" t="s">
        <v>3</v>
      </c>
      <c r="F2" s="1" t="s">
        <v>4</v>
      </c>
      <c r="G2" s="1" t="s">
        <v>5</v>
      </c>
      <c r="H2" s="1" t="s">
        <v>6</v>
      </c>
      <c r="I2" s="1" t="s">
        <v>7</v>
      </c>
      <c r="J2" s="1" t="s">
        <v>8</v>
      </c>
    </row>
    <row r="3" spans="2:10" x14ac:dyDescent="0.3">
      <c r="B3" s="3">
        <v>10452</v>
      </c>
      <c r="C3" s="4">
        <v>44872</v>
      </c>
      <c r="D3" t="s">
        <v>9</v>
      </c>
      <c r="E3" s="3">
        <v>3.49</v>
      </c>
      <c r="F3" s="5">
        <v>573.06590257879645</v>
      </c>
      <c r="G3" s="3" t="s">
        <v>10</v>
      </c>
      <c r="H3" s="3" t="s">
        <v>11</v>
      </c>
      <c r="I3" t="s">
        <v>12</v>
      </c>
      <c r="J3" t="s">
        <v>13</v>
      </c>
    </row>
    <row r="4" spans="2:10" x14ac:dyDescent="0.3">
      <c r="B4" s="3">
        <v>10453</v>
      </c>
      <c r="C4" s="4">
        <v>44872</v>
      </c>
      <c r="D4" t="s">
        <v>14</v>
      </c>
      <c r="E4" s="3">
        <v>2.95</v>
      </c>
      <c r="F4" s="5">
        <v>745.7627118644067</v>
      </c>
      <c r="G4" s="3" t="s">
        <v>10</v>
      </c>
      <c r="H4" s="3" t="s">
        <v>11</v>
      </c>
      <c r="I4" t="s">
        <v>15</v>
      </c>
      <c r="J4" t="s">
        <v>16</v>
      </c>
    </row>
    <row r="5" spans="2:10" x14ac:dyDescent="0.3">
      <c r="B5" s="3">
        <v>10454</v>
      </c>
      <c r="C5" s="4">
        <v>44872</v>
      </c>
      <c r="D5" t="s">
        <v>17</v>
      </c>
      <c r="E5" s="3">
        <v>4.99</v>
      </c>
      <c r="F5" s="5">
        <v>200.40080160320639</v>
      </c>
      <c r="G5" s="3" t="s">
        <v>18</v>
      </c>
      <c r="H5" s="3" t="s">
        <v>11</v>
      </c>
      <c r="I5" t="s">
        <v>19</v>
      </c>
      <c r="J5" t="s">
        <v>20</v>
      </c>
    </row>
    <row r="6" spans="2:10" x14ac:dyDescent="0.3">
      <c r="B6" s="3">
        <v>10455</v>
      </c>
      <c r="C6" s="4">
        <v>44873</v>
      </c>
      <c r="D6" t="s">
        <v>21</v>
      </c>
      <c r="E6" s="3">
        <v>12.99</v>
      </c>
      <c r="F6" s="5">
        <v>569.66897613548883</v>
      </c>
      <c r="G6" s="3" t="s">
        <v>18</v>
      </c>
      <c r="H6" s="3" t="s">
        <v>22</v>
      </c>
      <c r="I6" t="s">
        <v>23</v>
      </c>
      <c r="J6" t="s">
        <v>24</v>
      </c>
    </row>
    <row r="7" spans="2:10" x14ac:dyDescent="0.3">
      <c r="B7" s="3">
        <v>10456</v>
      </c>
      <c r="C7" s="4">
        <v>44873</v>
      </c>
      <c r="D7" t="s">
        <v>25</v>
      </c>
      <c r="E7" s="3">
        <v>9.9499999999999993</v>
      </c>
      <c r="F7" s="5">
        <v>201.00502512562818</v>
      </c>
      <c r="G7" s="3" t="s">
        <v>18</v>
      </c>
      <c r="H7" s="3" t="s">
        <v>22</v>
      </c>
      <c r="I7" t="s">
        <v>23</v>
      </c>
      <c r="J7" t="s">
        <v>24</v>
      </c>
    </row>
    <row r="8" spans="2:10" x14ac:dyDescent="0.3">
      <c r="B8" s="3">
        <v>10457</v>
      </c>
      <c r="C8" s="4">
        <v>44873</v>
      </c>
      <c r="D8" t="s">
        <v>9</v>
      </c>
      <c r="E8" s="3">
        <v>3.49</v>
      </c>
      <c r="F8" s="5">
        <v>573.06590257879645</v>
      </c>
      <c r="G8" s="3" t="s">
        <v>18</v>
      </c>
      <c r="H8" s="3" t="s">
        <v>22</v>
      </c>
      <c r="I8" t="s">
        <v>26</v>
      </c>
      <c r="J8" t="s">
        <v>27</v>
      </c>
    </row>
    <row r="9" spans="2:10" x14ac:dyDescent="0.3">
      <c r="B9" s="3">
        <v>10457</v>
      </c>
      <c r="C9" s="4">
        <v>44873</v>
      </c>
      <c r="D9" t="s">
        <v>9</v>
      </c>
      <c r="E9" s="3">
        <v>3.49</v>
      </c>
      <c r="F9" s="5">
        <v>573.06590257879645</v>
      </c>
      <c r="G9" s="3" t="s">
        <v>18</v>
      </c>
      <c r="H9" s="3" t="s">
        <v>22</v>
      </c>
      <c r="I9" t="s">
        <v>26</v>
      </c>
      <c r="J9" t="s">
        <v>27</v>
      </c>
    </row>
    <row r="10" spans="2:10" x14ac:dyDescent="0.3">
      <c r="B10" s="3">
        <v>10459</v>
      </c>
      <c r="C10" s="4">
        <v>44873</v>
      </c>
      <c r="D10" t="s">
        <v>17</v>
      </c>
      <c r="E10" s="3">
        <v>4.99</v>
      </c>
      <c r="F10" s="5">
        <v>200.40080160320639</v>
      </c>
      <c r="G10" s="3" t="s">
        <v>18</v>
      </c>
      <c r="H10" s="3" t="s">
        <v>22</v>
      </c>
      <c r="I10" t="s">
        <v>23</v>
      </c>
      <c r="J10" t="s">
        <v>24</v>
      </c>
    </row>
    <row r="11" spans="2:10" x14ac:dyDescent="0.3">
      <c r="B11" s="3">
        <v>10460</v>
      </c>
      <c r="C11" s="4">
        <v>44874</v>
      </c>
      <c r="D11" t="s">
        <v>21</v>
      </c>
      <c r="E11" s="3">
        <v>12.99</v>
      </c>
      <c r="F11" s="5">
        <v>554.27251732101615</v>
      </c>
      <c r="G11" s="3" t="s">
        <v>18</v>
      </c>
      <c r="H11" s="3" t="s">
        <v>22</v>
      </c>
      <c r="I11" t="s">
        <v>28</v>
      </c>
      <c r="J11" t="s">
        <v>27</v>
      </c>
    </row>
    <row r="12" spans="2:10" x14ac:dyDescent="0.3">
      <c r="B12" s="3">
        <v>10461</v>
      </c>
      <c r="C12" s="4">
        <v>44874</v>
      </c>
      <c r="D12" t="s">
        <v>25</v>
      </c>
      <c r="E12" s="3">
        <v>9.9499999999999993</v>
      </c>
      <c r="F12" s="5">
        <v>201.00502512562818</v>
      </c>
      <c r="G12" s="3" t="s">
        <v>18</v>
      </c>
      <c r="H12" s="3" t="s">
        <v>22</v>
      </c>
      <c r="I12" t="s">
        <v>28</v>
      </c>
      <c r="J12" t="s">
        <v>27</v>
      </c>
    </row>
    <row r="13" spans="2:10" x14ac:dyDescent="0.3">
      <c r="B13" s="3">
        <v>10462</v>
      </c>
      <c r="C13" s="4">
        <v>44874</v>
      </c>
      <c r="D13" t="s">
        <v>9</v>
      </c>
      <c r="E13" s="3">
        <v>3.49</v>
      </c>
      <c r="F13" s="5">
        <v>573.06590257879645</v>
      </c>
      <c r="G13" s="3" t="s">
        <v>18</v>
      </c>
      <c r="H13" s="3" t="s">
        <v>22</v>
      </c>
      <c r="I13" t="s">
        <v>29</v>
      </c>
      <c r="J13" t="s">
        <v>27</v>
      </c>
    </row>
    <row r="14" spans="2:10" x14ac:dyDescent="0.3">
      <c r="B14" s="3">
        <v>10463</v>
      </c>
      <c r="C14" s="4">
        <v>44874</v>
      </c>
      <c r="D14" t="s">
        <v>14</v>
      </c>
      <c r="E14" s="3">
        <v>2.95</v>
      </c>
      <c r="F14" s="5">
        <v>677.96610169491521</v>
      </c>
      <c r="G14" s="3" t="s">
        <v>18</v>
      </c>
      <c r="H14" s="3" t="s">
        <v>22</v>
      </c>
      <c r="I14" t="s">
        <v>29</v>
      </c>
      <c r="J14" t="s">
        <v>27</v>
      </c>
    </row>
    <row r="15" spans="2:10" x14ac:dyDescent="0.3">
      <c r="B15" s="3">
        <v>10464</v>
      </c>
      <c r="C15" s="4">
        <v>44874</v>
      </c>
      <c r="D15" t="s">
        <v>17</v>
      </c>
      <c r="E15" s="3">
        <v>4.99</v>
      </c>
      <c r="F15" s="5">
        <v>200.40080160320639</v>
      </c>
      <c r="G15" s="3" t="s">
        <v>18</v>
      </c>
      <c r="H15" s="3" t="s">
        <v>22</v>
      </c>
      <c r="I15" t="s">
        <v>30</v>
      </c>
      <c r="J15" t="s">
        <v>27</v>
      </c>
    </row>
    <row r="16" spans="2:10" x14ac:dyDescent="0.3">
      <c r="B16" s="3">
        <v>10465</v>
      </c>
      <c r="C16" s="4">
        <v>44875</v>
      </c>
      <c r="D16" t="s">
        <v>21</v>
      </c>
      <c r="E16" s="3">
        <v>12.99</v>
      </c>
      <c r="F16" s="5">
        <v>554.27251732101615</v>
      </c>
      <c r="G16" s="3" t="s">
        <v>18</v>
      </c>
      <c r="H16" s="3" t="s">
        <v>22</v>
      </c>
      <c r="I16" t="s">
        <v>31</v>
      </c>
      <c r="J16" t="s">
        <v>16</v>
      </c>
    </row>
    <row r="17" spans="2:10" x14ac:dyDescent="0.3">
      <c r="B17" s="3">
        <v>10466</v>
      </c>
      <c r="C17" s="4">
        <v>44875</v>
      </c>
      <c r="D17" t="s">
        <v>25</v>
      </c>
      <c r="E17" s="3">
        <v>9.9499999999999993</v>
      </c>
      <c r="F17" s="5">
        <v>201.00502512562818</v>
      </c>
      <c r="G17" s="3" t="s">
        <v>18</v>
      </c>
      <c r="H17" s="3" t="s">
        <v>22</v>
      </c>
      <c r="I17" t="s">
        <v>31</v>
      </c>
      <c r="J17" t="s">
        <v>16</v>
      </c>
    </row>
    <row r="18" spans="2:10" x14ac:dyDescent="0.3">
      <c r="B18" s="3">
        <v>10467</v>
      </c>
      <c r="C18" s="4">
        <v>44875</v>
      </c>
      <c r="D18" t="s">
        <v>9</v>
      </c>
      <c r="E18" s="3">
        <v>3.49</v>
      </c>
      <c r="F18" s="5">
        <v>573.06590257879645</v>
      </c>
      <c r="G18" s="3" t="s">
        <v>18</v>
      </c>
      <c r="H18" s="3" t="s">
        <v>22</v>
      </c>
      <c r="I18" t="s">
        <v>31</v>
      </c>
      <c r="J18" t="s">
        <v>16</v>
      </c>
    </row>
    <row r="19" spans="2:10" x14ac:dyDescent="0.3">
      <c r="B19" s="3">
        <v>10468</v>
      </c>
      <c r="C19" s="4">
        <v>44875</v>
      </c>
      <c r="D19" t="s">
        <v>14</v>
      </c>
      <c r="E19" s="3">
        <v>2.95</v>
      </c>
      <c r="F19" s="5">
        <v>677.96610169491521</v>
      </c>
      <c r="G19" s="3" t="s">
        <v>18</v>
      </c>
      <c r="H19" s="3" t="s">
        <v>22</v>
      </c>
      <c r="I19" t="s">
        <v>15</v>
      </c>
      <c r="J19" t="s">
        <v>16</v>
      </c>
    </row>
    <row r="20" spans="2:10" x14ac:dyDescent="0.3">
      <c r="B20" s="3">
        <v>10468</v>
      </c>
      <c r="C20" s="4">
        <v>44875</v>
      </c>
      <c r="D20" t="s">
        <v>14</v>
      </c>
      <c r="E20" s="3">
        <v>2.95</v>
      </c>
      <c r="F20" s="5">
        <v>677.96610169491521</v>
      </c>
      <c r="G20" s="3" t="s">
        <v>18</v>
      </c>
      <c r="H20" s="3" t="s">
        <v>22</v>
      </c>
      <c r="I20" t="s">
        <v>15</v>
      </c>
      <c r="J20" t="s">
        <v>16</v>
      </c>
    </row>
    <row r="21" spans="2:10" x14ac:dyDescent="0.3">
      <c r="B21" s="3">
        <v>10470</v>
      </c>
      <c r="C21" s="4">
        <v>44876</v>
      </c>
      <c r="D21" t="s">
        <v>21</v>
      </c>
      <c r="E21" s="3">
        <v>12.99</v>
      </c>
      <c r="F21" s="5">
        <v>554.27251732101615</v>
      </c>
      <c r="G21" s="3" t="s">
        <v>18</v>
      </c>
      <c r="H21" s="3" t="s">
        <v>22</v>
      </c>
      <c r="I21" t="s">
        <v>15</v>
      </c>
      <c r="J21" t="s">
        <v>16</v>
      </c>
    </row>
    <row r="22" spans="2:10" x14ac:dyDescent="0.3">
      <c r="B22" s="3">
        <v>10471</v>
      </c>
      <c r="C22" s="4">
        <v>44876</v>
      </c>
      <c r="D22" t="s">
        <v>25</v>
      </c>
      <c r="E22" s="3">
        <v>9.9499999999999993</v>
      </c>
      <c r="F22" s="5">
        <v>201.00502512562818</v>
      </c>
      <c r="G22" s="3" t="s">
        <v>18</v>
      </c>
      <c r="H22" s="3" t="s">
        <v>22</v>
      </c>
      <c r="I22" t="s">
        <v>15</v>
      </c>
      <c r="J22" t="s">
        <v>16</v>
      </c>
    </row>
    <row r="23" spans="2:10" x14ac:dyDescent="0.3">
      <c r="B23" s="3">
        <v>10472</v>
      </c>
      <c r="C23" s="4">
        <v>44876</v>
      </c>
      <c r="D23" t="s">
        <v>9</v>
      </c>
      <c r="E23" s="3">
        <v>3.49</v>
      </c>
      <c r="F23" s="5">
        <v>630.3724928366762</v>
      </c>
      <c r="G23" s="3" t="s">
        <v>18</v>
      </c>
      <c r="H23" s="3" t="s">
        <v>22</v>
      </c>
      <c r="I23" t="s">
        <v>32</v>
      </c>
      <c r="J23" t="s">
        <v>16</v>
      </c>
    </row>
    <row r="24" spans="2:10" x14ac:dyDescent="0.3">
      <c r="B24" s="3">
        <v>10473</v>
      </c>
      <c r="C24" s="4">
        <v>44876</v>
      </c>
      <c r="D24" t="s">
        <v>14</v>
      </c>
      <c r="E24" s="3">
        <v>2.95</v>
      </c>
      <c r="F24" s="5">
        <v>677.96610169491521</v>
      </c>
      <c r="G24" s="3" t="s">
        <v>18</v>
      </c>
      <c r="H24" s="3" t="s">
        <v>22</v>
      </c>
      <c r="I24" t="s">
        <v>15</v>
      </c>
      <c r="J24" t="s">
        <v>16</v>
      </c>
    </row>
    <row r="25" spans="2:10" x14ac:dyDescent="0.3">
      <c r="B25" s="3">
        <v>10474</v>
      </c>
      <c r="C25" s="4">
        <v>44876</v>
      </c>
      <c r="D25" t="s">
        <v>17</v>
      </c>
      <c r="E25" s="3">
        <v>4.99</v>
      </c>
      <c r="F25" s="5">
        <v>200.40080160320639</v>
      </c>
      <c r="G25" s="3" t="s">
        <v>18</v>
      </c>
      <c r="H25" s="3" t="s">
        <v>22</v>
      </c>
      <c r="I25" t="s">
        <v>15</v>
      </c>
      <c r="J25" t="s">
        <v>16</v>
      </c>
    </row>
    <row r="26" spans="2:10" x14ac:dyDescent="0.3">
      <c r="B26" s="3">
        <v>10475</v>
      </c>
      <c r="C26" s="4">
        <v>44877</v>
      </c>
      <c r="D26" t="s">
        <v>21</v>
      </c>
      <c r="E26" s="3">
        <v>12.99</v>
      </c>
      <c r="F26" s="5">
        <v>523.47959969207079</v>
      </c>
      <c r="G26" s="3" t="s">
        <v>18</v>
      </c>
      <c r="H26" s="3" t="s">
        <v>22</v>
      </c>
      <c r="I26" t="s">
        <v>15</v>
      </c>
      <c r="J26" t="s">
        <v>16</v>
      </c>
    </row>
    <row r="27" spans="2:10" x14ac:dyDescent="0.3">
      <c r="B27" s="3">
        <v>10476</v>
      </c>
      <c r="C27" s="4">
        <v>44877</v>
      </c>
      <c r="D27" t="s">
        <v>25</v>
      </c>
      <c r="E27" s="3">
        <v>9.9499999999999993</v>
      </c>
      <c r="F27" s="5">
        <v>201.00502512562818</v>
      </c>
      <c r="G27" s="3" t="s">
        <v>18</v>
      </c>
      <c r="H27" s="3" t="s">
        <v>22</v>
      </c>
      <c r="I27" t="s">
        <v>31</v>
      </c>
      <c r="J27" t="s">
        <v>16</v>
      </c>
    </row>
    <row r="28" spans="2:10" x14ac:dyDescent="0.3">
      <c r="B28" s="3">
        <v>10477</v>
      </c>
      <c r="C28" s="4">
        <v>44877</v>
      </c>
      <c r="D28" t="s">
        <v>9</v>
      </c>
      <c r="E28" s="3">
        <v>3.49</v>
      </c>
      <c r="F28" s="5">
        <v>630.3724928366762</v>
      </c>
      <c r="G28" s="3" t="s">
        <v>18</v>
      </c>
      <c r="H28" s="3" t="s">
        <v>22</v>
      </c>
      <c r="I28" t="s">
        <v>33</v>
      </c>
      <c r="J28" t="s">
        <v>16</v>
      </c>
    </row>
    <row r="29" spans="2:10" x14ac:dyDescent="0.3">
      <c r="B29" s="3">
        <v>10478</v>
      </c>
      <c r="C29" s="4">
        <v>44877</v>
      </c>
      <c r="D29" t="s">
        <v>14</v>
      </c>
      <c r="E29" s="3">
        <v>2.95</v>
      </c>
      <c r="F29" s="5">
        <v>677.96610169491521</v>
      </c>
      <c r="G29" s="3" t="s">
        <v>18</v>
      </c>
      <c r="H29" s="3" t="s">
        <v>22</v>
      </c>
      <c r="I29" t="s">
        <v>31</v>
      </c>
      <c r="J29" t="s">
        <v>16</v>
      </c>
    </row>
    <row r="30" spans="2:10" x14ac:dyDescent="0.3">
      <c r="B30" s="3">
        <v>10479</v>
      </c>
      <c r="C30" s="4">
        <v>44877</v>
      </c>
      <c r="D30" t="s">
        <v>17</v>
      </c>
      <c r="E30" s="3">
        <v>4.99</v>
      </c>
      <c r="F30" s="5">
        <v>200.40080160320639</v>
      </c>
      <c r="G30" s="3" t="s">
        <v>18</v>
      </c>
      <c r="H30" s="3" t="s">
        <v>22</v>
      </c>
      <c r="I30" t="s">
        <v>34</v>
      </c>
      <c r="J30" t="s">
        <v>16</v>
      </c>
    </row>
    <row r="31" spans="2:10" x14ac:dyDescent="0.3">
      <c r="B31" s="3">
        <v>10480</v>
      </c>
      <c r="C31" s="4">
        <v>44878</v>
      </c>
      <c r="D31" t="s">
        <v>21</v>
      </c>
      <c r="E31" s="3">
        <v>12.99</v>
      </c>
      <c r="F31" s="5">
        <v>508.08314087759817</v>
      </c>
      <c r="G31" s="3" t="s">
        <v>18</v>
      </c>
      <c r="H31" s="3" t="s">
        <v>22</v>
      </c>
      <c r="I31" t="s">
        <v>31</v>
      </c>
      <c r="J31" t="s">
        <v>16</v>
      </c>
    </row>
    <row r="32" spans="2:10" x14ac:dyDescent="0.3">
      <c r="B32" s="3">
        <v>10481</v>
      </c>
      <c r="C32" s="4">
        <v>44878</v>
      </c>
      <c r="D32" t="s">
        <v>25</v>
      </c>
      <c r="E32" s="3">
        <v>9.9499999999999993</v>
      </c>
      <c r="F32" s="5">
        <v>201.00502512562818</v>
      </c>
      <c r="G32" s="3" t="s">
        <v>18</v>
      </c>
      <c r="H32" s="3" t="s">
        <v>22</v>
      </c>
      <c r="I32" t="s">
        <v>31</v>
      </c>
      <c r="J32" t="s">
        <v>16</v>
      </c>
    </row>
    <row r="33" spans="2:10" x14ac:dyDescent="0.3">
      <c r="B33" s="3">
        <v>10482</v>
      </c>
      <c r="C33" s="4">
        <v>44878</v>
      </c>
      <c r="D33" t="s">
        <v>9</v>
      </c>
      <c r="E33" s="3">
        <v>25.5</v>
      </c>
      <c r="F33" s="5">
        <v>630.3724928366762</v>
      </c>
      <c r="G33" s="3" t="s">
        <v>18</v>
      </c>
      <c r="H33" s="3" t="s">
        <v>22</v>
      </c>
      <c r="I33" t="s">
        <v>35</v>
      </c>
      <c r="J33" t="s">
        <v>20</v>
      </c>
    </row>
    <row r="34" spans="2:10" x14ac:dyDescent="0.3">
      <c r="B34" s="3">
        <v>10483</v>
      </c>
      <c r="C34" s="4">
        <v>44878</v>
      </c>
      <c r="D34" t="s">
        <v>14</v>
      </c>
      <c r="E34" s="3">
        <v>33.22</v>
      </c>
      <c r="F34" s="5">
        <v>677.96610169491521</v>
      </c>
      <c r="G34" s="3" t="s">
        <v>18</v>
      </c>
      <c r="H34" s="3" t="s">
        <v>22</v>
      </c>
      <c r="I34" t="s">
        <v>19</v>
      </c>
      <c r="J34" t="s">
        <v>20</v>
      </c>
    </row>
    <row r="35" spans="2:10" x14ac:dyDescent="0.3">
      <c r="B35" s="3">
        <v>10484</v>
      </c>
      <c r="C35" s="4">
        <v>44878</v>
      </c>
      <c r="D35" t="s">
        <v>17</v>
      </c>
      <c r="E35" s="3">
        <v>21.44</v>
      </c>
      <c r="F35" s="5">
        <v>200.40080160320639</v>
      </c>
      <c r="G35" s="3" t="s">
        <v>18</v>
      </c>
      <c r="H35" s="3" t="s">
        <v>22</v>
      </c>
      <c r="I35" t="s">
        <v>19</v>
      </c>
      <c r="J35" t="s">
        <v>20</v>
      </c>
    </row>
    <row r="36" spans="2:10" x14ac:dyDescent="0.3">
      <c r="B36" s="3">
        <v>10485</v>
      </c>
      <c r="C36" s="4">
        <v>44879</v>
      </c>
      <c r="D36" t="s">
        <v>21</v>
      </c>
      <c r="E36" s="3">
        <v>27.99</v>
      </c>
      <c r="F36" s="5">
        <v>523.47959969207079</v>
      </c>
      <c r="G36" s="3" t="s">
        <v>18</v>
      </c>
      <c r="H36" s="3" t="s">
        <v>22</v>
      </c>
      <c r="I36" t="s">
        <v>19</v>
      </c>
      <c r="J36" t="s">
        <v>20</v>
      </c>
    </row>
    <row r="37" spans="2:10" x14ac:dyDescent="0.3">
      <c r="B37" s="3">
        <v>10486</v>
      </c>
      <c r="C37" s="4">
        <v>44879</v>
      </c>
      <c r="D37" t="s">
        <v>25</v>
      </c>
      <c r="E37" s="3">
        <v>29.05</v>
      </c>
      <c r="F37" s="5">
        <v>201.00502512562818</v>
      </c>
      <c r="G37" s="3" t="s">
        <v>18</v>
      </c>
      <c r="H37" s="3" t="s">
        <v>22</v>
      </c>
      <c r="I37" t="s">
        <v>19</v>
      </c>
      <c r="J37" t="s">
        <v>20</v>
      </c>
    </row>
    <row r="38" spans="2:10" x14ac:dyDescent="0.3">
      <c r="B38" s="3">
        <v>10487</v>
      </c>
      <c r="C38" s="4">
        <v>44879</v>
      </c>
      <c r="D38" t="s">
        <v>9</v>
      </c>
      <c r="E38" s="3">
        <v>3.49</v>
      </c>
      <c r="F38" s="5">
        <v>630.3724928366762</v>
      </c>
      <c r="G38" s="3" t="s">
        <v>18</v>
      </c>
      <c r="H38" s="3" t="s">
        <v>22</v>
      </c>
      <c r="I38" t="s">
        <v>35</v>
      </c>
      <c r="J38" t="s">
        <v>20</v>
      </c>
    </row>
    <row r="39" spans="2:10" x14ac:dyDescent="0.3">
      <c r="B39" s="3">
        <v>10488</v>
      </c>
      <c r="C39" s="4">
        <v>44879</v>
      </c>
      <c r="D39" t="s">
        <v>14</v>
      </c>
      <c r="E39" s="3">
        <v>2.95</v>
      </c>
      <c r="F39" s="5">
        <v>677.96610169491521</v>
      </c>
      <c r="G39" s="3" t="s">
        <v>18</v>
      </c>
      <c r="H39" s="3" t="s">
        <v>22</v>
      </c>
      <c r="I39" t="s">
        <v>35</v>
      </c>
      <c r="J39" t="s">
        <v>20</v>
      </c>
    </row>
    <row r="40" spans="2:10" x14ac:dyDescent="0.3">
      <c r="B40" s="3">
        <v>10489</v>
      </c>
      <c r="C40" s="4">
        <v>44879</v>
      </c>
      <c r="D40" t="s">
        <v>17</v>
      </c>
      <c r="E40" s="3">
        <v>4.99</v>
      </c>
      <c r="F40" s="5">
        <v>200.40080160320639</v>
      </c>
      <c r="G40" s="3" t="s">
        <v>18</v>
      </c>
      <c r="H40" s="3" t="s">
        <v>22</v>
      </c>
      <c r="I40" t="s">
        <v>31</v>
      </c>
      <c r="J40" t="s">
        <v>16</v>
      </c>
    </row>
    <row r="41" spans="2:10" x14ac:dyDescent="0.3">
      <c r="B41" s="3">
        <v>10490</v>
      </c>
      <c r="C41" s="4">
        <v>44880</v>
      </c>
      <c r="D41" t="s">
        <v>21</v>
      </c>
      <c r="E41" s="3">
        <v>12.99</v>
      </c>
      <c r="F41" s="5">
        <v>508.08314087759817</v>
      </c>
      <c r="G41" s="3" t="s">
        <v>18</v>
      </c>
      <c r="H41" s="3" t="s">
        <v>22</v>
      </c>
      <c r="I41" t="s">
        <v>31</v>
      </c>
      <c r="J41" t="s">
        <v>16</v>
      </c>
    </row>
    <row r="42" spans="2:10" x14ac:dyDescent="0.3">
      <c r="B42" s="3">
        <v>10491</v>
      </c>
      <c r="C42" s="4">
        <v>44880</v>
      </c>
      <c r="D42" t="s">
        <v>25</v>
      </c>
      <c r="E42" s="3">
        <v>9.9499999999999993</v>
      </c>
      <c r="F42" s="5">
        <v>201.00502512562818</v>
      </c>
      <c r="G42" s="3" t="s">
        <v>18</v>
      </c>
      <c r="H42" s="3" t="s">
        <v>22</v>
      </c>
      <c r="I42" t="s">
        <v>31</v>
      </c>
      <c r="J42" t="s">
        <v>16</v>
      </c>
    </row>
    <row r="43" spans="2:10" x14ac:dyDescent="0.3">
      <c r="B43" s="3">
        <v>10492</v>
      </c>
      <c r="C43" s="4">
        <v>44880</v>
      </c>
      <c r="D43" t="s">
        <v>9</v>
      </c>
      <c r="E43" s="3">
        <v>3.49</v>
      </c>
      <c r="F43" s="5">
        <v>573.06590257879645</v>
      </c>
      <c r="G43" s="3" t="s">
        <v>18</v>
      </c>
      <c r="H43" s="3" t="s">
        <v>22</v>
      </c>
      <c r="I43" t="s">
        <v>31</v>
      </c>
      <c r="J43" t="s">
        <v>16</v>
      </c>
    </row>
    <row r="44" spans="2:10" x14ac:dyDescent="0.3">
      <c r="B44" s="3">
        <v>10493</v>
      </c>
      <c r="C44" s="4">
        <v>44880</v>
      </c>
      <c r="D44" t="s">
        <v>14</v>
      </c>
      <c r="E44" s="3">
        <v>2.95</v>
      </c>
      <c r="F44" s="5">
        <v>677.96610169491521</v>
      </c>
      <c r="G44" s="3" t="s">
        <v>18</v>
      </c>
      <c r="H44" s="3" t="s">
        <v>22</v>
      </c>
      <c r="I44" t="s">
        <v>31</v>
      </c>
      <c r="J44" t="s">
        <v>16</v>
      </c>
    </row>
    <row r="45" spans="2:10" x14ac:dyDescent="0.3">
      <c r="B45" s="3">
        <v>10494</v>
      </c>
      <c r="C45" s="4">
        <v>44880</v>
      </c>
      <c r="D45" t="s">
        <v>17</v>
      </c>
      <c r="E45" s="3">
        <v>4.99</v>
      </c>
      <c r="F45" s="5">
        <v>200.40080160320639</v>
      </c>
      <c r="G45" s="3" t="s">
        <v>18</v>
      </c>
      <c r="H45" s="3" t="s">
        <v>22</v>
      </c>
      <c r="I45" t="s">
        <v>31</v>
      </c>
      <c r="J45" t="s">
        <v>16</v>
      </c>
    </row>
    <row r="46" spans="2:10" x14ac:dyDescent="0.3">
      <c r="B46" s="3">
        <v>10495</v>
      </c>
      <c r="C46" s="4">
        <v>44881</v>
      </c>
      <c r="D46" t="s">
        <v>21</v>
      </c>
      <c r="E46" s="3">
        <v>12.99</v>
      </c>
      <c r="F46" s="5">
        <v>508.08314087759817</v>
      </c>
      <c r="G46" s="3" t="s">
        <v>18</v>
      </c>
      <c r="H46" s="3" t="s">
        <v>22</v>
      </c>
      <c r="I46" t="s">
        <v>31</v>
      </c>
      <c r="J46" t="s">
        <v>16</v>
      </c>
    </row>
    <row r="47" spans="2:10" x14ac:dyDescent="0.3">
      <c r="B47" s="3">
        <v>10496</v>
      </c>
      <c r="C47" s="4">
        <v>44881</v>
      </c>
      <c r="D47" t="s">
        <v>25</v>
      </c>
      <c r="E47" s="3">
        <v>9.9499999999999993</v>
      </c>
      <c r="F47" s="5">
        <v>201.00502512562818</v>
      </c>
      <c r="G47" s="3" t="s">
        <v>18</v>
      </c>
      <c r="H47" s="3" t="s">
        <v>22</v>
      </c>
      <c r="I47" t="s">
        <v>31</v>
      </c>
      <c r="J47" t="s">
        <v>16</v>
      </c>
    </row>
    <row r="48" spans="2:10" x14ac:dyDescent="0.3">
      <c r="B48" s="3">
        <v>10497</v>
      </c>
      <c r="C48" s="4">
        <v>44881</v>
      </c>
      <c r="D48" t="s">
        <v>9</v>
      </c>
      <c r="E48" s="3">
        <v>3.49</v>
      </c>
      <c r="F48" s="5">
        <v>573.06590257879645</v>
      </c>
      <c r="G48" s="3" t="s">
        <v>18</v>
      </c>
      <c r="H48" s="3" t="s">
        <v>22</v>
      </c>
      <c r="I48" t="s">
        <v>31</v>
      </c>
      <c r="J48" t="s">
        <v>16</v>
      </c>
    </row>
    <row r="49" spans="2:10" x14ac:dyDescent="0.3">
      <c r="B49" s="3">
        <v>10498</v>
      </c>
      <c r="C49" s="4">
        <v>44881</v>
      </c>
      <c r="D49" t="s">
        <v>14</v>
      </c>
      <c r="E49" s="3">
        <v>2.95</v>
      </c>
      <c r="F49" s="5">
        <v>677.96610169491521</v>
      </c>
      <c r="G49" s="3" t="s">
        <v>36</v>
      </c>
      <c r="H49" s="3" t="s">
        <v>22</v>
      </c>
      <c r="I49" t="s">
        <v>31</v>
      </c>
      <c r="J49" t="s">
        <v>16</v>
      </c>
    </row>
    <row r="50" spans="2:10" x14ac:dyDescent="0.3">
      <c r="B50" s="3">
        <v>10499</v>
      </c>
      <c r="C50" s="4">
        <v>44881</v>
      </c>
      <c r="D50" t="s">
        <v>17</v>
      </c>
      <c r="E50" s="3">
        <v>4.99</v>
      </c>
      <c r="F50" s="5">
        <v>200.40080160320639</v>
      </c>
      <c r="G50" s="3" t="s">
        <v>36</v>
      </c>
      <c r="H50" s="3" t="s">
        <v>22</v>
      </c>
      <c r="I50" t="s">
        <v>31</v>
      </c>
      <c r="J50" t="s">
        <v>16</v>
      </c>
    </row>
    <row r="51" spans="2:10" x14ac:dyDescent="0.3">
      <c r="B51" s="3">
        <v>10500</v>
      </c>
      <c r="C51" s="4">
        <v>44882</v>
      </c>
      <c r="D51" t="s">
        <v>21</v>
      </c>
      <c r="E51" s="3">
        <v>12.99</v>
      </c>
      <c r="F51" s="5">
        <v>523.47959969207079</v>
      </c>
      <c r="G51" s="3" t="s">
        <v>36</v>
      </c>
      <c r="H51" s="3" t="s">
        <v>22</v>
      </c>
      <c r="I51" t="s">
        <v>31</v>
      </c>
      <c r="J51" t="s">
        <v>16</v>
      </c>
    </row>
    <row r="52" spans="2:10" x14ac:dyDescent="0.3">
      <c r="B52" s="3">
        <v>10501</v>
      </c>
      <c r="C52" s="4">
        <v>44882</v>
      </c>
      <c r="D52" t="s">
        <v>25</v>
      </c>
      <c r="E52" s="3">
        <v>9.9499999999999993</v>
      </c>
      <c r="F52" s="5">
        <v>201.00502512562818</v>
      </c>
      <c r="G52" s="3" t="s">
        <v>36</v>
      </c>
      <c r="H52" s="3" t="s">
        <v>22</v>
      </c>
      <c r="I52" t="s">
        <v>31</v>
      </c>
      <c r="J52" t="s">
        <v>16</v>
      </c>
    </row>
    <row r="53" spans="2:10" x14ac:dyDescent="0.3">
      <c r="B53" s="3">
        <v>10502</v>
      </c>
      <c r="C53" s="4">
        <v>44882</v>
      </c>
      <c r="D53" t="s">
        <v>9</v>
      </c>
      <c r="E53" s="3">
        <v>3.49</v>
      </c>
      <c r="F53" s="5">
        <v>630.3724928366762</v>
      </c>
      <c r="G53" s="3" t="s">
        <v>36</v>
      </c>
      <c r="H53" s="3" t="s">
        <v>22</v>
      </c>
      <c r="I53" t="s">
        <v>31</v>
      </c>
      <c r="J53" t="s">
        <v>16</v>
      </c>
    </row>
    <row r="54" spans="2:10" x14ac:dyDescent="0.3">
      <c r="B54" s="3">
        <v>10503</v>
      </c>
      <c r="C54" s="4">
        <v>44882</v>
      </c>
      <c r="D54" t="s">
        <v>14</v>
      </c>
      <c r="E54" s="3">
        <v>2.95</v>
      </c>
      <c r="F54" s="5">
        <v>677.96610169491521</v>
      </c>
      <c r="G54" s="3" t="s">
        <v>36</v>
      </c>
      <c r="H54" s="3" t="s">
        <v>22</v>
      </c>
      <c r="I54" t="s">
        <v>31</v>
      </c>
      <c r="J54" t="s">
        <v>16</v>
      </c>
    </row>
    <row r="55" spans="2:10" x14ac:dyDescent="0.3">
      <c r="B55" s="3">
        <v>10504</v>
      </c>
      <c r="C55" s="4">
        <v>44882</v>
      </c>
      <c r="D55" t="s">
        <v>17</v>
      </c>
      <c r="E55" s="3">
        <v>4.99</v>
      </c>
      <c r="F55" s="5">
        <v>200.40080160320639</v>
      </c>
      <c r="G55" s="3" t="s">
        <v>36</v>
      </c>
      <c r="H55" s="3" t="s">
        <v>22</v>
      </c>
      <c r="I55" t="s">
        <v>31</v>
      </c>
      <c r="J55" t="s">
        <v>16</v>
      </c>
    </row>
    <row r="56" spans="2:10" x14ac:dyDescent="0.3">
      <c r="B56" s="3">
        <v>10505</v>
      </c>
      <c r="C56" s="4">
        <v>44883</v>
      </c>
      <c r="D56" t="s">
        <v>21</v>
      </c>
      <c r="E56" s="3">
        <v>12.99</v>
      </c>
      <c r="F56" s="5">
        <v>538.87605850654347</v>
      </c>
      <c r="G56" s="3" t="s">
        <v>36</v>
      </c>
      <c r="H56" s="3" t="s">
        <v>22</v>
      </c>
      <c r="I56" t="s">
        <v>31</v>
      </c>
      <c r="J56" t="s">
        <v>16</v>
      </c>
    </row>
    <row r="57" spans="2:10" x14ac:dyDescent="0.3">
      <c r="B57" s="3">
        <v>10506</v>
      </c>
      <c r="C57" s="4">
        <v>44883</v>
      </c>
      <c r="D57" t="s">
        <v>25</v>
      </c>
      <c r="E57" s="3">
        <v>9.9499999999999993</v>
      </c>
      <c r="F57" s="5">
        <v>201.00502512562818</v>
      </c>
      <c r="G57" s="3" t="s">
        <v>36</v>
      </c>
      <c r="H57" s="3" t="s">
        <v>22</v>
      </c>
      <c r="I57" t="s">
        <v>31</v>
      </c>
      <c r="J57" t="s">
        <v>16</v>
      </c>
    </row>
    <row r="58" spans="2:10" x14ac:dyDescent="0.3">
      <c r="B58" s="3">
        <v>10507</v>
      </c>
      <c r="C58" s="4">
        <v>44883</v>
      </c>
      <c r="D58" t="s">
        <v>9</v>
      </c>
      <c r="E58" s="3">
        <v>3.49</v>
      </c>
      <c r="F58" s="5">
        <v>687.67908309455584</v>
      </c>
      <c r="G58" s="3" t="s">
        <v>36</v>
      </c>
      <c r="H58" s="3" t="s">
        <v>22</v>
      </c>
      <c r="I58" t="s">
        <v>31</v>
      </c>
      <c r="J58" t="s">
        <v>16</v>
      </c>
    </row>
    <row r="59" spans="2:10" x14ac:dyDescent="0.3">
      <c r="B59" s="3">
        <v>10508</v>
      </c>
      <c r="C59" s="4">
        <v>44883</v>
      </c>
      <c r="D59" t="s">
        <v>14</v>
      </c>
      <c r="E59" s="3">
        <v>2.95</v>
      </c>
      <c r="F59" s="5">
        <v>677.96610169491521</v>
      </c>
      <c r="G59" s="3" t="s">
        <v>36</v>
      </c>
      <c r="H59" s="3" t="s">
        <v>22</v>
      </c>
      <c r="I59" t="s">
        <v>31</v>
      </c>
      <c r="J59" t="s">
        <v>16</v>
      </c>
    </row>
    <row r="60" spans="2:10" x14ac:dyDescent="0.3">
      <c r="B60" s="3">
        <v>10509</v>
      </c>
      <c r="C60" s="4">
        <v>44883</v>
      </c>
      <c r="D60" t="s">
        <v>17</v>
      </c>
      <c r="E60" s="3">
        <v>4.99</v>
      </c>
      <c r="F60" s="5">
        <v>200.40080160320639</v>
      </c>
      <c r="G60" s="3" t="s">
        <v>36</v>
      </c>
      <c r="H60" s="3" t="s">
        <v>22</v>
      </c>
      <c r="I60" t="s">
        <v>31</v>
      </c>
      <c r="J60" t="s">
        <v>16</v>
      </c>
    </row>
    <row r="61" spans="2:10" x14ac:dyDescent="0.3">
      <c r="B61" s="3">
        <v>10510</v>
      </c>
      <c r="C61" s="4">
        <v>44884</v>
      </c>
      <c r="D61" t="s">
        <v>21</v>
      </c>
      <c r="E61" s="3">
        <v>12.99</v>
      </c>
      <c r="F61" s="5">
        <v>508.08314087759817</v>
      </c>
      <c r="G61" s="3" t="s">
        <v>36</v>
      </c>
      <c r="H61" s="3" t="s">
        <v>22</v>
      </c>
      <c r="I61" t="s">
        <v>31</v>
      </c>
      <c r="J61" t="s">
        <v>16</v>
      </c>
    </row>
    <row r="62" spans="2:10" x14ac:dyDescent="0.3">
      <c r="B62" s="3">
        <v>10511</v>
      </c>
      <c r="C62" s="4">
        <v>44884</v>
      </c>
      <c r="D62" t="s">
        <v>25</v>
      </c>
      <c r="E62" s="3">
        <v>9.9499999999999993</v>
      </c>
      <c r="F62" s="5">
        <v>201.00502512562818</v>
      </c>
      <c r="G62" s="3" t="s">
        <v>36</v>
      </c>
      <c r="H62" s="3" t="s">
        <v>22</v>
      </c>
      <c r="I62" t="s">
        <v>35</v>
      </c>
      <c r="J62" t="s">
        <v>20</v>
      </c>
    </row>
    <row r="63" spans="2:10" x14ac:dyDescent="0.3">
      <c r="B63" s="3">
        <v>10512</v>
      </c>
      <c r="C63" s="4">
        <v>44884</v>
      </c>
      <c r="D63" t="s">
        <v>9</v>
      </c>
      <c r="E63" s="3">
        <v>3.49</v>
      </c>
      <c r="F63" s="5">
        <v>687.67908309455584</v>
      </c>
      <c r="G63" s="3" t="s">
        <v>36</v>
      </c>
      <c r="H63" s="3" t="s">
        <v>22</v>
      </c>
      <c r="I63" t="s">
        <v>35</v>
      </c>
      <c r="J63" t="s">
        <v>20</v>
      </c>
    </row>
    <row r="64" spans="2:10" x14ac:dyDescent="0.3">
      <c r="B64" s="3">
        <v>10513</v>
      </c>
      <c r="C64" s="4">
        <v>44884</v>
      </c>
      <c r="D64" t="s">
        <v>14</v>
      </c>
      <c r="E64" s="3">
        <v>2.95</v>
      </c>
      <c r="F64" s="5">
        <v>677.96610169491521</v>
      </c>
      <c r="G64" s="3" t="s">
        <v>36</v>
      </c>
      <c r="H64" s="3" t="s">
        <v>37</v>
      </c>
      <c r="I64" t="s">
        <v>35</v>
      </c>
      <c r="J64" t="s">
        <v>20</v>
      </c>
    </row>
    <row r="65" spans="2:10" x14ac:dyDescent="0.3">
      <c r="B65" s="3">
        <v>10514</v>
      </c>
      <c r="C65" s="4">
        <v>44884</v>
      </c>
      <c r="D65" t="s">
        <v>17</v>
      </c>
      <c r="E65" s="3">
        <v>4.99</v>
      </c>
      <c r="F65" s="5">
        <v>200.40080160320639</v>
      </c>
      <c r="G65" s="3" t="s">
        <v>36</v>
      </c>
      <c r="H65" s="3" t="s">
        <v>37</v>
      </c>
      <c r="I65" t="s">
        <v>35</v>
      </c>
      <c r="J65" t="s">
        <v>20</v>
      </c>
    </row>
    <row r="66" spans="2:10" x14ac:dyDescent="0.3">
      <c r="B66" s="3">
        <v>10515</v>
      </c>
      <c r="C66" s="4">
        <v>44885</v>
      </c>
      <c r="D66" t="s">
        <v>21</v>
      </c>
      <c r="E66" s="3">
        <v>12.99</v>
      </c>
      <c r="F66" s="5">
        <v>477.29022324865281</v>
      </c>
      <c r="G66" s="3" t="s">
        <v>36</v>
      </c>
      <c r="H66" s="3" t="s">
        <v>37</v>
      </c>
      <c r="I66" t="s">
        <v>35</v>
      </c>
      <c r="J66" t="s">
        <v>20</v>
      </c>
    </row>
    <row r="67" spans="2:10" x14ac:dyDescent="0.3">
      <c r="B67" s="3">
        <v>10516</v>
      </c>
      <c r="C67" s="4">
        <v>44885</v>
      </c>
      <c r="D67" t="s">
        <v>25</v>
      </c>
      <c r="E67" s="3">
        <v>9.9499999999999993</v>
      </c>
      <c r="F67" s="5">
        <v>201.00502512562818</v>
      </c>
      <c r="G67" s="3" t="s">
        <v>36</v>
      </c>
      <c r="H67" s="3" t="s">
        <v>37</v>
      </c>
      <c r="I67" t="s">
        <v>35</v>
      </c>
      <c r="J67" t="s">
        <v>20</v>
      </c>
    </row>
    <row r="68" spans="2:10" x14ac:dyDescent="0.3">
      <c r="B68" s="3">
        <v>10483</v>
      </c>
      <c r="C68" s="4">
        <v>44878</v>
      </c>
      <c r="D68" t="s">
        <v>14</v>
      </c>
      <c r="E68" s="3">
        <v>2.95</v>
      </c>
      <c r="F68" s="5">
        <v>677.96610169491521</v>
      </c>
      <c r="G68" s="3" t="s">
        <v>18</v>
      </c>
      <c r="H68" s="3" t="s">
        <v>22</v>
      </c>
      <c r="I68" t="s">
        <v>19</v>
      </c>
      <c r="J68" t="s">
        <v>20</v>
      </c>
    </row>
    <row r="69" spans="2:10" x14ac:dyDescent="0.3">
      <c r="B69" s="3">
        <v>10484</v>
      </c>
      <c r="C69" s="4">
        <v>44878</v>
      </c>
      <c r="D69" t="s">
        <v>17</v>
      </c>
      <c r="E69" s="3">
        <v>4.99</v>
      </c>
      <c r="F69" s="5">
        <v>200.40080160320639</v>
      </c>
      <c r="G69" s="3" t="s">
        <v>18</v>
      </c>
      <c r="H69" s="3" t="s">
        <v>22</v>
      </c>
      <c r="I69" t="s">
        <v>19</v>
      </c>
      <c r="J69" t="s">
        <v>20</v>
      </c>
    </row>
    <row r="70" spans="2:10" x14ac:dyDescent="0.3">
      <c r="B70" s="3">
        <v>10485</v>
      </c>
      <c r="C70" s="4">
        <v>44879</v>
      </c>
      <c r="D70" t="s">
        <v>21</v>
      </c>
      <c r="E70" s="3">
        <v>12.99</v>
      </c>
      <c r="F70" s="5">
        <v>523.47959969207079</v>
      </c>
      <c r="G70" s="3" t="s">
        <v>18</v>
      </c>
      <c r="H70" s="3" t="s">
        <v>22</v>
      </c>
      <c r="I70" t="s">
        <v>19</v>
      </c>
      <c r="J70" t="s">
        <v>20</v>
      </c>
    </row>
    <row r="71" spans="2:10" x14ac:dyDescent="0.3">
      <c r="B71" s="3">
        <v>10520</v>
      </c>
      <c r="C71" s="4">
        <v>44886</v>
      </c>
      <c r="D71" t="s">
        <v>21</v>
      </c>
      <c r="E71" s="3">
        <v>12.99</v>
      </c>
      <c r="F71" s="5">
        <v>492.68668206312549</v>
      </c>
      <c r="G71" s="3" t="s">
        <v>36</v>
      </c>
      <c r="H71" s="3" t="s">
        <v>37</v>
      </c>
      <c r="I71" t="s">
        <v>28</v>
      </c>
      <c r="J71" t="s">
        <v>27</v>
      </c>
    </row>
    <row r="72" spans="2:10" x14ac:dyDescent="0.3">
      <c r="B72" s="3">
        <v>10521</v>
      </c>
      <c r="C72" s="4">
        <v>44886</v>
      </c>
      <c r="D72" t="s">
        <v>25</v>
      </c>
      <c r="E72" s="3">
        <v>9.9499999999999993</v>
      </c>
      <c r="F72" s="5">
        <v>201.00502512562818</v>
      </c>
      <c r="G72" s="3" t="s">
        <v>36</v>
      </c>
      <c r="H72" s="3" t="s">
        <v>37</v>
      </c>
      <c r="I72" t="s">
        <v>28</v>
      </c>
      <c r="J72" t="s">
        <v>27</v>
      </c>
    </row>
    <row r="73" spans="2:10" x14ac:dyDescent="0.3">
      <c r="B73" s="3">
        <v>10522</v>
      </c>
      <c r="C73" s="4">
        <v>44886</v>
      </c>
      <c r="D73" t="s">
        <v>9</v>
      </c>
      <c r="E73" s="3">
        <v>3.49</v>
      </c>
      <c r="F73" s="5">
        <v>687.67908309455584</v>
      </c>
      <c r="G73" s="3" t="s">
        <v>36</v>
      </c>
      <c r="H73" s="3" t="s">
        <v>37</v>
      </c>
      <c r="I73" t="s">
        <v>28</v>
      </c>
      <c r="J73" t="s">
        <v>27</v>
      </c>
    </row>
    <row r="74" spans="2:10" x14ac:dyDescent="0.3">
      <c r="B74" s="3">
        <v>10523</v>
      </c>
      <c r="C74" s="4">
        <v>44886</v>
      </c>
      <c r="D74" t="s">
        <v>14</v>
      </c>
      <c r="E74" s="3">
        <v>2.95</v>
      </c>
      <c r="F74" s="5">
        <v>745.7627118644067</v>
      </c>
      <c r="G74" s="3" t="s">
        <v>36</v>
      </c>
      <c r="H74" s="3" t="s">
        <v>37</v>
      </c>
      <c r="I74" t="s">
        <v>28</v>
      </c>
      <c r="J74" t="s">
        <v>27</v>
      </c>
    </row>
    <row r="75" spans="2:10" x14ac:dyDescent="0.3">
      <c r="B75" s="3">
        <v>10524</v>
      </c>
      <c r="C75" s="4">
        <v>44886</v>
      </c>
      <c r="D75" t="s">
        <v>17</v>
      </c>
      <c r="E75" s="3">
        <v>4.99</v>
      </c>
      <c r="F75" s="5">
        <v>200.40080160320639</v>
      </c>
      <c r="G75" s="3" t="s">
        <v>36</v>
      </c>
      <c r="H75" s="3" t="s">
        <v>37</v>
      </c>
      <c r="I75" t="s">
        <v>28</v>
      </c>
      <c r="J75" t="s">
        <v>27</v>
      </c>
    </row>
    <row r="76" spans="2:10" x14ac:dyDescent="0.3">
      <c r="B76" s="3">
        <v>10525</v>
      </c>
      <c r="C76" s="4">
        <v>44887</v>
      </c>
      <c r="D76" t="s">
        <v>21</v>
      </c>
      <c r="E76" s="3">
        <v>12.99</v>
      </c>
      <c r="F76" s="5">
        <v>461.89376443418013</v>
      </c>
      <c r="G76" s="3" t="s">
        <v>36</v>
      </c>
      <c r="H76" s="3" t="s">
        <v>37</v>
      </c>
      <c r="I76" t="s">
        <v>28</v>
      </c>
      <c r="J76" t="s">
        <v>27</v>
      </c>
    </row>
    <row r="77" spans="2:10" x14ac:dyDescent="0.3">
      <c r="B77" s="3">
        <v>10526</v>
      </c>
      <c r="C77" s="4">
        <v>44887</v>
      </c>
      <c r="D77" t="s">
        <v>25</v>
      </c>
      <c r="E77" s="3">
        <v>9.9499999999999993</v>
      </c>
      <c r="F77" s="5">
        <v>201.00502512562818</v>
      </c>
      <c r="G77" s="3" t="s">
        <v>36</v>
      </c>
      <c r="H77" s="3" t="s">
        <v>37</v>
      </c>
      <c r="I77" t="s">
        <v>28</v>
      </c>
      <c r="J77" t="s">
        <v>27</v>
      </c>
    </row>
    <row r="78" spans="2:10" x14ac:dyDescent="0.3">
      <c r="B78" s="3">
        <v>10527</v>
      </c>
      <c r="C78" s="4">
        <v>44887</v>
      </c>
      <c r="D78" t="s">
        <v>9</v>
      </c>
      <c r="E78" s="3">
        <v>3.49</v>
      </c>
      <c r="F78" s="5">
        <v>687.67908309455584</v>
      </c>
      <c r="G78" s="3" t="s">
        <v>36</v>
      </c>
      <c r="H78" s="3" t="s">
        <v>37</v>
      </c>
      <c r="I78" t="s">
        <v>28</v>
      </c>
      <c r="J78" t="s">
        <v>27</v>
      </c>
    </row>
    <row r="79" spans="2:10" x14ac:dyDescent="0.3">
      <c r="B79" s="3">
        <v>10528</v>
      </c>
      <c r="C79" s="4">
        <v>44887</v>
      </c>
      <c r="D79" t="s">
        <v>14</v>
      </c>
      <c r="E79" s="3">
        <v>2.95</v>
      </c>
      <c r="F79" s="5">
        <v>745.7627118644067</v>
      </c>
      <c r="G79" s="3" t="s">
        <v>36</v>
      </c>
      <c r="H79" s="3" t="s">
        <v>37</v>
      </c>
      <c r="I79" t="s">
        <v>28</v>
      </c>
      <c r="J79" t="s">
        <v>27</v>
      </c>
    </row>
    <row r="80" spans="2:10" x14ac:dyDescent="0.3">
      <c r="B80" s="3">
        <v>10529</v>
      </c>
      <c r="C80" s="4">
        <v>44887</v>
      </c>
      <c r="D80" t="s">
        <v>17</v>
      </c>
      <c r="E80" s="3">
        <v>4.99</v>
      </c>
      <c r="F80" s="5">
        <v>200.40080160320639</v>
      </c>
      <c r="G80" s="3" t="s">
        <v>36</v>
      </c>
      <c r="H80" s="3" t="s">
        <v>37</v>
      </c>
      <c r="I80" t="s">
        <v>28</v>
      </c>
      <c r="J80" t="s">
        <v>27</v>
      </c>
    </row>
    <row r="81" spans="2:10" x14ac:dyDescent="0.3">
      <c r="B81" s="3">
        <v>10530</v>
      </c>
      <c r="C81" s="4">
        <v>44888</v>
      </c>
      <c r="D81" t="s">
        <v>21</v>
      </c>
      <c r="E81" s="3">
        <v>12.99</v>
      </c>
      <c r="F81" s="5">
        <v>477.29022324865281</v>
      </c>
      <c r="G81" s="3" t="s">
        <v>36</v>
      </c>
      <c r="H81" s="3" t="s">
        <v>37</v>
      </c>
      <c r="I81" t="s">
        <v>28</v>
      </c>
      <c r="J81" t="s">
        <v>27</v>
      </c>
    </row>
    <row r="82" spans="2:10" x14ac:dyDescent="0.3">
      <c r="B82" s="3">
        <v>10531</v>
      </c>
      <c r="C82" s="4">
        <v>44888</v>
      </c>
      <c r="D82" t="s">
        <v>25</v>
      </c>
      <c r="E82" s="3">
        <v>9.9499999999999993</v>
      </c>
      <c r="F82" s="5">
        <v>201.00502512562818</v>
      </c>
      <c r="G82" s="3" t="s">
        <v>36</v>
      </c>
      <c r="H82" s="3" t="s">
        <v>37</v>
      </c>
      <c r="I82" t="s">
        <v>28</v>
      </c>
      <c r="J82" t="s">
        <v>27</v>
      </c>
    </row>
    <row r="83" spans="2:10" x14ac:dyDescent="0.3">
      <c r="B83" s="3">
        <v>10532</v>
      </c>
      <c r="C83" s="4">
        <v>44888</v>
      </c>
      <c r="D83" t="s">
        <v>9</v>
      </c>
      <c r="E83" s="3">
        <v>3.49</v>
      </c>
      <c r="F83" s="5">
        <v>687.67908309455584</v>
      </c>
      <c r="G83" s="3" t="s">
        <v>36</v>
      </c>
      <c r="H83" s="3" t="s">
        <v>37</v>
      </c>
      <c r="I83" t="s">
        <v>35</v>
      </c>
      <c r="J83" t="s">
        <v>20</v>
      </c>
    </row>
    <row r="84" spans="2:10" x14ac:dyDescent="0.3">
      <c r="B84" s="3">
        <v>10533</v>
      </c>
      <c r="C84" s="4">
        <v>44888</v>
      </c>
      <c r="D84" t="s">
        <v>14</v>
      </c>
      <c r="E84" s="3">
        <v>2.95</v>
      </c>
      <c r="F84" s="5">
        <v>745.7627118644067</v>
      </c>
      <c r="G84" s="3" t="s">
        <v>36</v>
      </c>
      <c r="H84" s="3" t="s">
        <v>37</v>
      </c>
      <c r="I84" t="s">
        <v>35</v>
      </c>
      <c r="J84" t="s">
        <v>20</v>
      </c>
    </row>
    <row r="85" spans="2:10" x14ac:dyDescent="0.3">
      <c r="B85" s="3">
        <v>10534</v>
      </c>
      <c r="C85" s="4">
        <v>44888</v>
      </c>
      <c r="D85" t="s">
        <v>17</v>
      </c>
      <c r="E85" s="3">
        <v>4.99</v>
      </c>
      <c r="F85" s="5">
        <v>200.40080160320639</v>
      </c>
      <c r="G85" s="3" t="s">
        <v>36</v>
      </c>
      <c r="H85" s="3" t="s">
        <v>37</v>
      </c>
      <c r="I85" t="s">
        <v>31</v>
      </c>
      <c r="J85" t="s">
        <v>16</v>
      </c>
    </row>
    <row r="86" spans="2:10" x14ac:dyDescent="0.3">
      <c r="B86" s="3">
        <v>10535</v>
      </c>
      <c r="C86" s="4">
        <v>44889</v>
      </c>
      <c r="D86" t="s">
        <v>21</v>
      </c>
      <c r="E86" s="3">
        <v>12.99</v>
      </c>
      <c r="F86" s="5">
        <v>477.29022324865281</v>
      </c>
      <c r="G86" s="3" t="s">
        <v>36</v>
      </c>
      <c r="H86" s="3" t="s">
        <v>22</v>
      </c>
      <c r="I86" t="s">
        <v>31</v>
      </c>
      <c r="J86" t="s">
        <v>16</v>
      </c>
    </row>
    <row r="87" spans="2:10" x14ac:dyDescent="0.3">
      <c r="B87" s="3">
        <v>10536</v>
      </c>
      <c r="C87" s="4">
        <v>44889</v>
      </c>
      <c r="D87" t="s">
        <v>25</v>
      </c>
      <c r="E87" s="3">
        <v>9.9499999999999993</v>
      </c>
      <c r="F87" s="5">
        <v>201.00502512562818</v>
      </c>
      <c r="G87" s="3" t="s">
        <v>36</v>
      </c>
      <c r="H87" s="3" t="s">
        <v>22</v>
      </c>
      <c r="I87" t="s">
        <v>31</v>
      </c>
      <c r="J87" t="s">
        <v>16</v>
      </c>
    </row>
    <row r="88" spans="2:10" x14ac:dyDescent="0.3">
      <c r="B88" s="3">
        <v>10537</v>
      </c>
      <c r="C88" s="4">
        <v>44889</v>
      </c>
      <c r="D88" t="s">
        <v>9</v>
      </c>
      <c r="E88" s="3">
        <v>3.49</v>
      </c>
      <c r="F88" s="5">
        <v>630.3724928366762</v>
      </c>
      <c r="G88" s="3" t="s">
        <v>36</v>
      </c>
      <c r="H88" s="3" t="s">
        <v>22</v>
      </c>
      <c r="I88" t="s">
        <v>31</v>
      </c>
      <c r="J88" t="s">
        <v>16</v>
      </c>
    </row>
    <row r="89" spans="2:10" x14ac:dyDescent="0.3">
      <c r="B89" s="3">
        <v>10538</v>
      </c>
      <c r="C89" s="4">
        <v>44889</v>
      </c>
      <c r="D89" t="s">
        <v>14</v>
      </c>
      <c r="E89" s="3">
        <v>2.95</v>
      </c>
      <c r="F89" s="5">
        <v>745.7627118644067</v>
      </c>
      <c r="G89" s="3" t="s">
        <v>36</v>
      </c>
      <c r="H89" s="3" t="s">
        <v>22</v>
      </c>
      <c r="I89" t="s">
        <v>31</v>
      </c>
      <c r="J89" t="s">
        <v>16</v>
      </c>
    </row>
    <row r="90" spans="2:10" x14ac:dyDescent="0.3">
      <c r="B90" s="3">
        <v>10539</v>
      </c>
      <c r="C90" s="4">
        <v>44889</v>
      </c>
      <c r="D90" t="s">
        <v>17</v>
      </c>
      <c r="E90" s="3">
        <v>4.99</v>
      </c>
      <c r="F90" s="5">
        <v>200.40080160320639</v>
      </c>
      <c r="G90" s="3" t="s">
        <v>36</v>
      </c>
      <c r="H90" s="3" t="s">
        <v>22</v>
      </c>
      <c r="I90" t="s">
        <v>31</v>
      </c>
      <c r="J90" t="s">
        <v>16</v>
      </c>
    </row>
    <row r="91" spans="2:10" x14ac:dyDescent="0.3">
      <c r="B91" s="3">
        <v>10540</v>
      </c>
      <c r="C91" s="4">
        <v>44890</v>
      </c>
      <c r="D91" t="s">
        <v>21</v>
      </c>
      <c r="E91" s="3">
        <v>12.99</v>
      </c>
      <c r="F91" s="5">
        <v>461.89376443418013</v>
      </c>
      <c r="G91" s="3" t="s">
        <v>36</v>
      </c>
      <c r="H91" s="3" t="s">
        <v>22</v>
      </c>
      <c r="I91" t="s">
        <v>31</v>
      </c>
      <c r="J91" t="s">
        <v>16</v>
      </c>
    </row>
    <row r="92" spans="2:10" x14ac:dyDescent="0.3">
      <c r="B92" s="3">
        <v>10541</v>
      </c>
      <c r="C92" s="4">
        <v>44890</v>
      </c>
      <c r="D92" t="s">
        <v>25</v>
      </c>
      <c r="E92" s="3">
        <v>9.9499999999999993</v>
      </c>
      <c r="F92" s="5">
        <v>201.00502512562818</v>
      </c>
      <c r="G92" s="3" t="s">
        <v>36</v>
      </c>
      <c r="H92" s="3" t="s">
        <v>22</v>
      </c>
      <c r="I92" t="s">
        <v>38</v>
      </c>
      <c r="J92" t="s">
        <v>13</v>
      </c>
    </row>
    <row r="93" spans="2:10" x14ac:dyDescent="0.3">
      <c r="B93" s="3">
        <v>10542</v>
      </c>
      <c r="C93" s="4">
        <v>44890</v>
      </c>
      <c r="D93" t="s">
        <v>9</v>
      </c>
      <c r="E93" s="3">
        <v>3.49</v>
      </c>
      <c r="F93" s="5">
        <v>630.3724928366762</v>
      </c>
      <c r="G93" s="3" t="s">
        <v>36</v>
      </c>
      <c r="H93" s="3" t="s">
        <v>22</v>
      </c>
      <c r="I93" t="s">
        <v>38</v>
      </c>
      <c r="J93" t="s">
        <v>13</v>
      </c>
    </row>
    <row r="94" spans="2:10" x14ac:dyDescent="0.3">
      <c r="B94" s="3">
        <v>10543</v>
      </c>
      <c r="C94" s="4">
        <v>44890</v>
      </c>
      <c r="D94" t="s">
        <v>14</v>
      </c>
      <c r="E94" s="3">
        <v>2.95</v>
      </c>
      <c r="F94" s="5">
        <v>745.7627118644067</v>
      </c>
      <c r="G94" s="3" t="s">
        <v>36</v>
      </c>
      <c r="H94" s="3" t="s">
        <v>22</v>
      </c>
      <c r="I94" t="s">
        <v>38</v>
      </c>
      <c r="J94" t="s">
        <v>13</v>
      </c>
    </row>
    <row r="95" spans="2:10" x14ac:dyDescent="0.3">
      <c r="B95" s="3">
        <v>10544</v>
      </c>
      <c r="C95" s="4">
        <v>44890</v>
      </c>
      <c r="D95" t="s">
        <v>17</v>
      </c>
      <c r="E95" s="3">
        <v>4.99</v>
      </c>
      <c r="F95" s="5">
        <v>200.40080160320639</v>
      </c>
      <c r="G95" s="3" t="s">
        <v>36</v>
      </c>
      <c r="H95" s="3" t="s">
        <v>22</v>
      </c>
      <c r="I95" t="s">
        <v>38</v>
      </c>
      <c r="J95" t="s">
        <v>13</v>
      </c>
    </row>
    <row r="96" spans="2:10" x14ac:dyDescent="0.3">
      <c r="B96" s="3">
        <v>10545</v>
      </c>
      <c r="C96" s="4">
        <v>44891</v>
      </c>
      <c r="D96" t="s">
        <v>21</v>
      </c>
      <c r="E96" s="3">
        <v>12.99</v>
      </c>
      <c r="F96" s="5">
        <v>446.49730561970739</v>
      </c>
      <c r="G96" s="3" t="s">
        <v>36</v>
      </c>
      <c r="H96" s="3" t="s">
        <v>22</v>
      </c>
      <c r="I96" t="s">
        <v>38</v>
      </c>
      <c r="J96" t="s">
        <v>13</v>
      </c>
    </row>
    <row r="97" spans="2:10" x14ac:dyDescent="0.3">
      <c r="B97" s="3">
        <v>10546</v>
      </c>
      <c r="C97" s="4">
        <v>44891</v>
      </c>
      <c r="D97" t="s">
        <v>25</v>
      </c>
      <c r="E97" s="3">
        <v>9.9499999999999993</v>
      </c>
      <c r="F97" s="5">
        <v>201.00502512562818</v>
      </c>
      <c r="G97" s="3" t="s">
        <v>36</v>
      </c>
      <c r="H97" s="3" t="s">
        <v>22</v>
      </c>
      <c r="I97" t="s">
        <v>38</v>
      </c>
      <c r="J97" t="s">
        <v>13</v>
      </c>
    </row>
    <row r="98" spans="2:10" x14ac:dyDescent="0.3">
      <c r="B98" s="3">
        <v>10547</v>
      </c>
      <c r="C98" s="4">
        <v>44891</v>
      </c>
      <c r="D98" t="s">
        <v>9</v>
      </c>
      <c r="E98" s="3">
        <v>3.49</v>
      </c>
      <c r="F98" s="5">
        <v>630.3724928366762</v>
      </c>
      <c r="G98" s="3" t="s">
        <v>36</v>
      </c>
      <c r="H98" s="3" t="s">
        <v>22</v>
      </c>
      <c r="I98" t="s">
        <v>38</v>
      </c>
      <c r="J98" t="s">
        <v>13</v>
      </c>
    </row>
    <row r="99" spans="2:10" x14ac:dyDescent="0.3">
      <c r="B99" s="3">
        <v>10548</v>
      </c>
      <c r="C99" s="4">
        <v>44891</v>
      </c>
      <c r="D99" t="s">
        <v>14</v>
      </c>
      <c r="E99" s="3">
        <v>2.95</v>
      </c>
      <c r="F99" s="5">
        <v>745.7627118644067</v>
      </c>
      <c r="G99" s="3" t="s">
        <v>36</v>
      </c>
      <c r="H99" s="3" t="s">
        <v>22</v>
      </c>
      <c r="I99" t="s">
        <v>38</v>
      </c>
      <c r="J99" t="s">
        <v>13</v>
      </c>
    </row>
    <row r="100" spans="2:10" x14ac:dyDescent="0.3">
      <c r="B100" s="3">
        <v>10549</v>
      </c>
      <c r="C100" s="4">
        <v>44891</v>
      </c>
      <c r="D100" t="s">
        <v>17</v>
      </c>
      <c r="E100" s="3">
        <v>4.99</v>
      </c>
      <c r="F100" s="5">
        <v>200.40080160320639</v>
      </c>
      <c r="G100" s="3" t="s">
        <v>36</v>
      </c>
      <c r="H100" s="3" t="s">
        <v>22</v>
      </c>
      <c r="I100" t="s">
        <v>38</v>
      </c>
      <c r="J100" t="s">
        <v>13</v>
      </c>
    </row>
    <row r="101" spans="2:10" x14ac:dyDescent="0.3">
      <c r="B101" s="3">
        <v>10550</v>
      </c>
      <c r="C101" s="4">
        <v>44892</v>
      </c>
      <c r="D101" t="s">
        <v>21</v>
      </c>
      <c r="E101" s="3">
        <v>12.99</v>
      </c>
      <c r="F101" s="5">
        <v>461.89376443418013</v>
      </c>
      <c r="G101" s="3" t="s">
        <v>36</v>
      </c>
      <c r="H101" s="3" t="s">
        <v>22</v>
      </c>
      <c r="I101" t="s">
        <v>38</v>
      </c>
      <c r="J101" t="s">
        <v>13</v>
      </c>
    </row>
    <row r="102" spans="2:10" x14ac:dyDescent="0.3">
      <c r="B102" s="3">
        <v>10551</v>
      </c>
      <c r="C102" s="4">
        <v>44892</v>
      </c>
      <c r="D102" t="s">
        <v>25</v>
      </c>
      <c r="E102" s="3">
        <v>9.9499999999999993</v>
      </c>
      <c r="F102" s="5">
        <v>201.00502512562818</v>
      </c>
      <c r="G102" s="3" t="s">
        <v>36</v>
      </c>
      <c r="H102" s="3" t="s">
        <v>22</v>
      </c>
      <c r="I102" t="s">
        <v>38</v>
      </c>
      <c r="J102" t="s">
        <v>13</v>
      </c>
    </row>
    <row r="103" spans="2:10" x14ac:dyDescent="0.3">
      <c r="B103" s="3">
        <v>10552</v>
      </c>
      <c r="C103" s="4">
        <v>44892</v>
      </c>
      <c r="D103" t="s">
        <v>9</v>
      </c>
      <c r="E103" s="3">
        <v>3.49</v>
      </c>
      <c r="F103" s="5">
        <v>630.3724928366762</v>
      </c>
      <c r="G103" s="3" t="s">
        <v>10</v>
      </c>
      <c r="H103" s="3" t="s">
        <v>22</v>
      </c>
      <c r="I103" t="s">
        <v>38</v>
      </c>
      <c r="J103" t="s">
        <v>13</v>
      </c>
    </row>
    <row r="104" spans="2:10" x14ac:dyDescent="0.3">
      <c r="B104" s="3">
        <v>10553</v>
      </c>
      <c r="C104" s="4">
        <v>44892</v>
      </c>
      <c r="D104" t="s">
        <v>14</v>
      </c>
      <c r="E104" s="3">
        <v>2.95</v>
      </c>
      <c r="F104" s="5">
        <v>745.7627118644067</v>
      </c>
      <c r="G104" s="3" t="s">
        <v>10</v>
      </c>
      <c r="H104" s="3" t="s">
        <v>22</v>
      </c>
      <c r="I104" t="s">
        <v>38</v>
      </c>
      <c r="J104" t="s">
        <v>13</v>
      </c>
    </row>
    <row r="105" spans="2:10" x14ac:dyDescent="0.3">
      <c r="B105" s="3">
        <v>10554</v>
      </c>
      <c r="C105" s="4">
        <v>44892</v>
      </c>
      <c r="D105" t="s">
        <v>17</v>
      </c>
      <c r="E105" s="3">
        <v>4.99</v>
      </c>
      <c r="F105" s="5">
        <v>200.40080160320639</v>
      </c>
      <c r="G105" s="3" t="s">
        <v>10</v>
      </c>
      <c r="H105" s="3" t="s">
        <v>22</v>
      </c>
      <c r="I105" t="s">
        <v>38</v>
      </c>
      <c r="J105" t="s">
        <v>13</v>
      </c>
    </row>
    <row r="106" spans="2:10" x14ac:dyDescent="0.3">
      <c r="B106" s="3">
        <v>10555</v>
      </c>
      <c r="C106" s="4">
        <v>44893</v>
      </c>
      <c r="D106" t="s">
        <v>21</v>
      </c>
      <c r="E106" s="3">
        <v>12.99</v>
      </c>
      <c r="F106" s="5">
        <v>477.29022324865281</v>
      </c>
      <c r="G106" s="3" t="s">
        <v>10</v>
      </c>
      <c r="H106" s="3" t="s">
        <v>22</v>
      </c>
      <c r="I106" t="s">
        <v>38</v>
      </c>
      <c r="J106" t="s">
        <v>13</v>
      </c>
    </row>
    <row r="107" spans="2:10" x14ac:dyDescent="0.3">
      <c r="B107" s="3">
        <v>10556</v>
      </c>
      <c r="C107" s="4">
        <v>44893</v>
      </c>
      <c r="D107" t="s">
        <v>25</v>
      </c>
      <c r="E107" s="3">
        <v>9.9499999999999993</v>
      </c>
      <c r="F107" s="5">
        <v>201.00502512562818</v>
      </c>
      <c r="G107" s="3" t="s">
        <v>10</v>
      </c>
      <c r="H107" s="3" t="s">
        <v>22</v>
      </c>
      <c r="I107" t="s">
        <v>38</v>
      </c>
      <c r="J107" t="s">
        <v>13</v>
      </c>
    </row>
    <row r="108" spans="2:10" x14ac:dyDescent="0.3">
      <c r="B108" s="3">
        <v>10557</v>
      </c>
      <c r="C108" s="4">
        <v>44893</v>
      </c>
      <c r="D108" t="s">
        <v>9</v>
      </c>
      <c r="E108" s="3">
        <v>3.49</v>
      </c>
      <c r="F108" s="5">
        <v>630.3724928366762</v>
      </c>
      <c r="G108" s="3" t="s">
        <v>10</v>
      </c>
      <c r="H108" s="3" t="s">
        <v>22</v>
      </c>
      <c r="I108" t="s">
        <v>38</v>
      </c>
      <c r="J108" t="s">
        <v>13</v>
      </c>
    </row>
    <row r="109" spans="2:10" x14ac:dyDescent="0.3">
      <c r="B109" s="3">
        <v>10558</v>
      </c>
      <c r="C109" s="4">
        <v>44893</v>
      </c>
      <c r="D109" t="s">
        <v>14</v>
      </c>
      <c r="E109" s="3">
        <v>2.95</v>
      </c>
      <c r="F109" s="5">
        <v>677.96610169491521</v>
      </c>
      <c r="G109" s="3" t="s">
        <v>10</v>
      </c>
      <c r="H109" s="3" t="s">
        <v>22</v>
      </c>
      <c r="I109" t="s">
        <v>38</v>
      </c>
      <c r="J109" t="s">
        <v>13</v>
      </c>
    </row>
    <row r="110" spans="2:10" x14ac:dyDescent="0.3">
      <c r="B110" s="3">
        <v>10559</v>
      </c>
      <c r="C110" s="4">
        <v>44893</v>
      </c>
      <c r="D110" t="s">
        <v>17</v>
      </c>
      <c r="E110" s="3">
        <v>4.99</v>
      </c>
      <c r="F110" s="5">
        <v>200.40080160320639</v>
      </c>
      <c r="G110" s="3" t="s">
        <v>10</v>
      </c>
      <c r="H110" s="3" t="s">
        <v>22</v>
      </c>
      <c r="I110" t="s">
        <v>38</v>
      </c>
      <c r="J110" t="s">
        <v>13</v>
      </c>
    </row>
    <row r="111" spans="2:10" x14ac:dyDescent="0.3">
      <c r="B111" s="3">
        <v>10560</v>
      </c>
      <c r="C111" s="4">
        <v>44894</v>
      </c>
      <c r="D111" t="s">
        <v>21</v>
      </c>
      <c r="E111" s="3">
        <v>12.99</v>
      </c>
      <c r="F111" s="5">
        <v>477.29022324865281</v>
      </c>
      <c r="G111" s="3" t="s">
        <v>10</v>
      </c>
      <c r="H111" s="3" t="s">
        <v>22</v>
      </c>
      <c r="I111" t="s">
        <v>38</v>
      </c>
      <c r="J111" t="s">
        <v>13</v>
      </c>
    </row>
    <row r="112" spans="2:10" x14ac:dyDescent="0.3">
      <c r="B112" s="3">
        <v>10561</v>
      </c>
      <c r="C112" s="4">
        <v>44894</v>
      </c>
      <c r="D112" t="s">
        <v>25</v>
      </c>
      <c r="E112" s="3">
        <v>9.9499999999999993</v>
      </c>
      <c r="F112" s="5">
        <v>201.00502512562818</v>
      </c>
      <c r="G112" s="3" t="s">
        <v>10</v>
      </c>
      <c r="H112" s="3" t="s">
        <v>22</v>
      </c>
      <c r="I112" t="s">
        <v>38</v>
      </c>
      <c r="J112" t="s">
        <v>13</v>
      </c>
    </row>
    <row r="113" spans="2:10" x14ac:dyDescent="0.3">
      <c r="B113" s="3">
        <v>10562</v>
      </c>
      <c r="C113" s="4">
        <v>44894</v>
      </c>
      <c r="D113" t="s">
        <v>9</v>
      </c>
      <c r="E113" s="3">
        <v>3.49</v>
      </c>
      <c r="F113" s="5">
        <v>630.3724928366762</v>
      </c>
      <c r="G113" s="3" t="s">
        <v>10</v>
      </c>
      <c r="H113" s="3" t="s">
        <v>22</v>
      </c>
      <c r="I113" t="s">
        <v>38</v>
      </c>
      <c r="J113" t="s">
        <v>13</v>
      </c>
    </row>
    <row r="114" spans="2:10" x14ac:dyDescent="0.3">
      <c r="B114" s="3">
        <v>10563</v>
      </c>
      <c r="C114" s="4">
        <v>44894</v>
      </c>
      <c r="D114" t="s">
        <v>14</v>
      </c>
      <c r="E114" s="3">
        <v>2.95</v>
      </c>
      <c r="F114" s="5">
        <v>677.96610169491521</v>
      </c>
      <c r="G114" s="3" t="s">
        <v>10</v>
      </c>
      <c r="H114" s="3" t="s">
        <v>22</v>
      </c>
      <c r="I114" t="s">
        <v>38</v>
      </c>
      <c r="J114" t="s">
        <v>13</v>
      </c>
    </row>
    <row r="115" spans="2:10" x14ac:dyDescent="0.3">
      <c r="B115" s="3">
        <v>10564</v>
      </c>
      <c r="C115" s="4">
        <v>44894</v>
      </c>
      <c r="D115" t="s">
        <v>17</v>
      </c>
      <c r="E115" s="3">
        <v>4.99</v>
      </c>
      <c r="F115" s="5">
        <v>200.40080160320639</v>
      </c>
      <c r="G115" s="3" t="s">
        <v>10</v>
      </c>
      <c r="H115" s="3" t="s">
        <v>22</v>
      </c>
      <c r="I115" t="s">
        <v>38</v>
      </c>
      <c r="J115" t="s">
        <v>13</v>
      </c>
    </row>
    <row r="116" spans="2:10" x14ac:dyDescent="0.3">
      <c r="B116" s="3">
        <v>10565</v>
      </c>
      <c r="C116" s="4">
        <v>44895</v>
      </c>
      <c r="D116" t="s">
        <v>21</v>
      </c>
      <c r="E116" s="3">
        <v>12.99</v>
      </c>
      <c r="F116" s="5">
        <v>492.68668206312549</v>
      </c>
      <c r="G116" s="3" t="s">
        <v>10</v>
      </c>
      <c r="H116" s="3" t="s">
        <v>22</v>
      </c>
      <c r="I116" t="s">
        <v>38</v>
      </c>
      <c r="J116" t="s">
        <v>13</v>
      </c>
    </row>
    <row r="117" spans="2:10" x14ac:dyDescent="0.3">
      <c r="B117" s="3">
        <v>10566</v>
      </c>
      <c r="C117" s="4">
        <v>44895</v>
      </c>
      <c r="D117" t="s">
        <v>25</v>
      </c>
      <c r="E117" s="3">
        <v>9.9499999999999993</v>
      </c>
      <c r="F117" s="5">
        <v>201.00502512562818</v>
      </c>
      <c r="G117" s="3" t="s">
        <v>10</v>
      </c>
      <c r="H117" s="3" t="s">
        <v>22</v>
      </c>
      <c r="I117" t="s">
        <v>38</v>
      </c>
      <c r="J117" t="s">
        <v>13</v>
      </c>
    </row>
    <row r="118" spans="2:10" x14ac:dyDescent="0.3">
      <c r="B118" s="3">
        <v>10567</v>
      </c>
      <c r="C118" s="4">
        <v>44895</v>
      </c>
      <c r="D118" t="s">
        <v>9</v>
      </c>
      <c r="E118" s="3">
        <v>3.49</v>
      </c>
      <c r="F118" s="5">
        <v>630.3724928366762</v>
      </c>
      <c r="G118" s="3" t="s">
        <v>10</v>
      </c>
      <c r="H118" s="3" t="s">
        <v>22</v>
      </c>
      <c r="I118" t="s">
        <v>38</v>
      </c>
      <c r="J118" t="s">
        <v>13</v>
      </c>
    </row>
    <row r="119" spans="2:10" x14ac:dyDescent="0.3">
      <c r="B119" s="3">
        <v>10568</v>
      </c>
      <c r="C119" s="4">
        <v>44895</v>
      </c>
      <c r="D119" t="s">
        <v>14</v>
      </c>
      <c r="E119" s="3">
        <v>2.95</v>
      </c>
      <c r="F119" s="5">
        <v>677.96610169491521</v>
      </c>
      <c r="G119" s="3" t="s">
        <v>10</v>
      </c>
      <c r="H119" s="3" t="s">
        <v>22</v>
      </c>
      <c r="I119" t="s">
        <v>38</v>
      </c>
      <c r="J119" t="s">
        <v>13</v>
      </c>
    </row>
    <row r="120" spans="2:10" x14ac:dyDescent="0.3">
      <c r="B120" s="3">
        <v>10569</v>
      </c>
      <c r="C120" s="4">
        <v>44895</v>
      </c>
      <c r="D120" t="s">
        <v>17</v>
      </c>
      <c r="E120" s="3">
        <v>4.99</v>
      </c>
      <c r="F120" s="5">
        <v>200.40080160320639</v>
      </c>
      <c r="G120" s="3" t="s">
        <v>10</v>
      </c>
      <c r="H120" s="3" t="s">
        <v>22</v>
      </c>
      <c r="I120" t="s">
        <v>38</v>
      </c>
      <c r="J120" t="s">
        <v>13</v>
      </c>
    </row>
    <row r="121" spans="2:10" x14ac:dyDescent="0.3">
      <c r="B121" s="3">
        <v>10570</v>
      </c>
      <c r="C121" s="4">
        <v>44896</v>
      </c>
      <c r="D121" t="s">
        <v>21</v>
      </c>
      <c r="E121" s="3">
        <v>12.99</v>
      </c>
      <c r="F121" s="5">
        <v>492.68668206312549</v>
      </c>
      <c r="G121" s="3" t="s">
        <v>10</v>
      </c>
      <c r="H121" s="3" t="s">
        <v>22</v>
      </c>
      <c r="I121" t="s">
        <v>38</v>
      </c>
      <c r="J121" t="s">
        <v>13</v>
      </c>
    </row>
    <row r="122" spans="2:10" x14ac:dyDescent="0.3">
      <c r="B122" s="3">
        <v>10571</v>
      </c>
      <c r="C122" s="4">
        <v>44896</v>
      </c>
      <c r="D122" t="s">
        <v>25</v>
      </c>
      <c r="E122" s="3">
        <v>9.9499999999999993</v>
      </c>
      <c r="F122" s="5">
        <v>201.00502512562818</v>
      </c>
      <c r="G122" s="3" t="s">
        <v>10</v>
      </c>
      <c r="H122" s="3" t="s">
        <v>22</v>
      </c>
      <c r="I122" t="s">
        <v>38</v>
      </c>
      <c r="J122" t="s">
        <v>13</v>
      </c>
    </row>
    <row r="123" spans="2:10" x14ac:dyDescent="0.3">
      <c r="B123" s="3">
        <v>10572</v>
      </c>
      <c r="C123" s="4">
        <v>44896</v>
      </c>
      <c r="D123" t="s">
        <v>9</v>
      </c>
      <c r="E123" s="3">
        <v>3.49</v>
      </c>
      <c r="F123" s="5">
        <v>573.06590257879645</v>
      </c>
      <c r="G123" s="3" t="s">
        <v>10</v>
      </c>
      <c r="H123" s="3" t="s">
        <v>22</v>
      </c>
      <c r="I123" t="s">
        <v>28</v>
      </c>
      <c r="J123" t="s">
        <v>27</v>
      </c>
    </row>
    <row r="124" spans="2:10" x14ac:dyDescent="0.3">
      <c r="B124" s="3">
        <v>10573</v>
      </c>
      <c r="C124" s="4">
        <v>44896</v>
      </c>
      <c r="D124" t="s">
        <v>14</v>
      </c>
      <c r="E124" s="3">
        <v>2.95</v>
      </c>
      <c r="F124" s="5">
        <v>677.96610169491521</v>
      </c>
      <c r="G124" s="3" t="s">
        <v>10</v>
      </c>
      <c r="H124" s="3" t="s">
        <v>22</v>
      </c>
      <c r="I124" t="s">
        <v>28</v>
      </c>
      <c r="J124" t="s">
        <v>27</v>
      </c>
    </row>
    <row r="125" spans="2:10" x14ac:dyDescent="0.3">
      <c r="B125" s="3">
        <v>10574</v>
      </c>
      <c r="C125" s="4">
        <v>44896</v>
      </c>
      <c r="D125" t="s">
        <v>17</v>
      </c>
      <c r="E125" s="3">
        <v>4.99</v>
      </c>
      <c r="F125" s="5">
        <v>200.40080160320639</v>
      </c>
      <c r="G125" s="3" t="s">
        <v>10</v>
      </c>
      <c r="H125" s="3" t="s">
        <v>22</v>
      </c>
      <c r="I125" t="s">
        <v>28</v>
      </c>
      <c r="J125" t="s">
        <v>27</v>
      </c>
    </row>
    <row r="126" spans="2:10" x14ac:dyDescent="0.3">
      <c r="B126" s="3">
        <v>10575</v>
      </c>
      <c r="C126" s="4">
        <v>44897</v>
      </c>
      <c r="D126" t="s">
        <v>21</v>
      </c>
      <c r="E126" s="3">
        <v>12.99</v>
      </c>
      <c r="F126" s="5">
        <v>523.47959969207079</v>
      </c>
      <c r="G126" s="3" t="s">
        <v>10</v>
      </c>
      <c r="H126" s="3" t="s">
        <v>22</v>
      </c>
      <c r="I126" t="s">
        <v>28</v>
      </c>
      <c r="J126" t="s">
        <v>27</v>
      </c>
    </row>
    <row r="127" spans="2:10" x14ac:dyDescent="0.3">
      <c r="B127" s="3">
        <v>10576</v>
      </c>
      <c r="C127" s="4">
        <v>44897</v>
      </c>
      <c r="D127" t="s">
        <v>25</v>
      </c>
      <c r="E127" s="3">
        <v>9.9499999999999993</v>
      </c>
      <c r="F127" s="5">
        <v>201.00502512562818</v>
      </c>
      <c r="G127" s="3" t="s">
        <v>10</v>
      </c>
      <c r="H127" s="3" t="s">
        <v>22</v>
      </c>
      <c r="I127" t="s">
        <v>28</v>
      </c>
      <c r="J127" t="s">
        <v>27</v>
      </c>
    </row>
    <row r="128" spans="2:10" x14ac:dyDescent="0.3">
      <c r="B128" s="3">
        <v>10577</v>
      </c>
      <c r="C128" s="4">
        <v>44897</v>
      </c>
      <c r="D128" t="s">
        <v>9</v>
      </c>
      <c r="E128" s="3">
        <v>3.49</v>
      </c>
      <c r="F128" s="5">
        <v>630.3724928366762</v>
      </c>
      <c r="G128" s="3" t="s">
        <v>10</v>
      </c>
      <c r="H128" s="3" t="s">
        <v>22</v>
      </c>
      <c r="I128" t="s">
        <v>28</v>
      </c>
      <c r="J128" t="s">
        <v>27</v>
      </c>
    </row>
    <row r="129" spans="2:10" x14ac:dyDescent="0.3">
      <c r="B129" s="3">
        <v>10578</v>
      </c>
      <c r="C129" s="4">
        <v>44897</v>
      </c>
      <c r="D129" t="s">
        <v>14</v>
      </c>
      <c r="E129" s="3">
        <v>2.95</v>
      </c>
      <c r="F129" s="5">
        <v>677.96610169491521</v>
      </c>
      <c r="G129" s="3" t="s">
        <v>10</v>
      </c>
      <c r="H129" s="3" t="s">
        <v>22</v>
      </c>
      <c r="I129" t="s">
        <v>28</v>
      </c>
      <c r="J129" t="s">
        <v>27</v>
      </c>
    </row>
    <row r="130" spans="2:10" x14ac:dyDescent="0.3">
      <c r="B130" s="3">
        <v>10579</v>
      </c>
      <c r="C130" s="4">
        <v>44897</v>
      </c>
      <c r="D130" t="s">
        <v>17</v>
      </c>
      <c r="E130" s="3">
        <v>4.99</v>
      </c>
      <c r="F130" s="5">
        <v>200.40080160320639</v>
      </c>
      <c r="G130" s="3" t="s">
        <v>10</v>
      </c>
      <c r="H130" s="3" t="s">
        <v>22</v>
      </c>
      <c r="I130" t="s">
        <v>28</v>
      </c>
      <c r="J130" t="s">
        <v>27</v>
      </c>
    </row>
    <row r="131" spans="2:10" x14ac:dyDescent="0.3">
      <c r="B131" s="3">
        <v>10580</v>
      </c>
      <c r="C131" s="4">
        <v>44898</v>
      </c>
      <c r="D131" t="s">
        <v>21</v>
      </c>
      <c r="E131" s="3">
        <v>12.99</v>
      </c>
      <c r="F131" s="5">
        <v>523.47959969207079</v>
      </c>
      <c r="G131" s="3" t="s">
        <v>10</v>
      </c>
      <c r="H131" s="3" t="s">
        <v>22</v>
      </c>
      <c r="I131" t="s">
        <v>28</v>
      </c>
      <c r="J131" t="s">
        <v>27</v>
      </c>
    </row>
    <row r="132" spans="2:10" x14ac:dyDescent="0.3">
      <c r="B132" s="3">
        <v>10581</v>
      </c>
      <c r="C132" s="4">
        <v>44898</v>
      </c>
      <c r="D132" t="s">
        <v>25</v>
      </c>
      <c r="E132" s="3">
        <v>9.9499999999999993</v>
      </c>
      <c r="F132" s="5">
        <v>201.00502512562818</v>
      </c>
      <c r="G132" s="3" t="s">
        <v>10</v>
      </c>
      <c r="H132" s="3" t="s">
        <v>22</v>
      </c>
      <c r="I132" t="s">
        <v>28</v>
      </c>
      <c r="J132" t="s">
        <v>27</v>
      </c>
    </row>
    <row r="133" spans="2:10" x14ac:dyDescent="0.3">
      <c r="B133" s="3">
        <v>10582</v>
      </c>
      <c r="C133" s="4">
        <v>44898</v>
      </c>
      <c r="D133" t="s">
        <v>9</v>
      </c>
      <c r="E133" s="3">
        <v>3.49</v>
      </c>
      <c r="F133" s="5">
        <v>630.3724928366762</v>
      </c>
      <c r="G133" s="3" t="s">
        <v>10</v>
      </c>
      <c r="H133" s="3" t="s">
        <v>22</v>
      </c>
      <c r="I133" t="s">
        <v>38</v>
      </c>
      <c r="J133" t="s">
        <v>13</v>
      </c>
    </row>
    <row r="134" spans="2:10" x14ac:dyDescent="0.3">
      <c r="B134" s="3">
        <v>10583</v>
      </c>
      <c r="C134" s="4">
        <v>44898</v>
      </c>
      <c r="D134" t="s">
        <v>14</v>
      </c>
      <c r="E134" s="3">
        <v>2.95</v>
      </c>
      <c r="F134" s="5">
        <v>677.96610169491521</v>
      </c>
      <c r="G134" s="3" t="s">
        <v>10</v>
      </c>
      <c r="H134" s="3" t="s">
        <v>22</v>
      </c>
      <c r="I134" t="s">
        <v>38</v>
      </c>
      <c r="J134" t="s">
        <v>13</v>
      </c>
    </row>
    <row r="135" spans="2:10" x14ac:dyDescent="0.3">
      <c r="B135" s="3">
        <v>10584</v>
      </c>
      <c r="C135" s="4">
        <v>44898</v>
      </c>
      <c r="D135" t="s">
        <v>17</v>
      </c>
      <c r="E135" s="3">
        <v>4.99</v>
      </c>
      <c r="F135" s="5">
        <v>200.40080160320639</v>
      </c>
      <c r="G135" s="3" t="s">
        <v>10</v>
      </c>
      <c r="H135" s="3" t="s">
        <v>22</v>
      </c>
      <c r="I135" t="s">
        <v>38</v>
      </c>
      <c r="J135" t="s">
        <v>13</v>
      </c>
    </row>
    <row r="136" spans="2:10" x14ac:dyDescent="0.3">
      <c r="B136" s="3">
        <v>10585</v>
      </c>
      <c r="C136" s="4">
        <v>44899</v>
      </c>
      <c r="D136" t="s">
        <v>21</v>
      </c>
      <c r="E136" s="3">
        <v>12.99</v>
      </c>
      <c r="F136" s="5">
        <v>538.87605850654347</v>
      </c>
      <c r="G136" s="3" t="s">
        <v>10</v>
      </c>
      <c r="H136" s="3" t="s">
        <v>22</v>
      </c>
      <c r="I136" t="s">
        <v>38</v>
      </c>
      <c r="J136" t="s">
        <v>13</v>
      </c>
    </row>
    <row r="137" spans="2:10" x14ac:dyDescent="0.3">
      <c r="B137" s="3">
        <v>10586</v>
      </c>
      <c r="C137" s="4">
        <v>44899</v>
      </c>
      <c r="D137" t="s">
        <v>25</v>
      </c>
      <c r="E137" s="3">
        <v>9.9499999999999993</v>
      </c>
      <c r="F137" s="5">
        <v>201.00502512562818</v>
      </c>
      <c r="G137" s="3" t="s">
        <v>10</v>
      </c>
      <c r="H137" s="3" t="s">
        <v>22</v>
      </c>
      <c r="I137" t="s">
        <v>38</v>
      </c>
      <c r="J137" t="s">
        <v>13</v>
      </c>
    </row>
    <row r="138" spans="2:10" x14ac:dyDescent="0.3">
      <c r="B138" s="3">
        <v>10537</v>
      </c>
      <c r="C138" s="4">
        <v>44889</v>
      </c>
      <c r="D138" t="s">
        <v>9</v>
      </c>
      <c r="E138" s="3">
        <v>3.49</v>
      </c>
      <c r="F138" s="5">
        <v>630.3724928366762</v>
      </c>
      <c r="G138" s="3" t="s">
        <v>36</v>
      </c>
      <c r="H138" s="3" t="s">
        <v>22</v>
      </c>
      <c r="I138" t="s">
        <v>31</v>
      </c>
      <c r="J138" t="s">
        <v>16</v>
      </c>
    </row>
    <row r="139" spans="2:10" x14ac:dyDescent="0.3">
      <c r="B139" s="3">
        <v>10538</v>
      </c>
      <c r="C139" s="4">
        <v>44889</v>
      </c>
      <c r="D139" t="s">
        <v>14</v>
      </c>
      <c r="E139" s="3">
        <v>2.95</v>
      </c>
      <c r="F139" s="5">
        <v>745.7627118644067</v>
      </c>
      <c r="G139" s="3" t="s">
        <v>36</v>
      </c>
      <c r="H139" s="3" t="s">
        <v>22</v>
      </c>
      <c r="I139" t="s">
        <v>31</v>
      </c>
      <c r="J139" t="s">
        <v>16</v>
      </c>
    </row>
    <row r="140" spans="2:10" x14ac:dyDescent="0.3">
      <c r="B140" s="3">
        <v>10539</v>
      </c>
      <c r="C140" s="4">
        <v>44889</v>
      </c>
      <c r="D140" t="s">
        <v>17</v>
      </c>
      <c r="E140" s="3">
        <v>4.99</v>
      </c>
      <c r="F140" s="5">
        <v>200.40080160320639</v>
      </c>
      <c r="G140" s="3" t="s">
        <v>36</v>
      </c>
      <c r="H140" s="3" t="s">
        <v>22</v>
      </c>
      <c r="I140" t="s">
        <v>31</v>
      </c>
      <c r="J140" t="s">
        <v>16</v>
      </c>
    </row>
    <row r="141" spans="2:10" x14ac:dyDescent="0.3">
      <c r="B141" s="3">
        <v>10590</v>
      </c>
      <c r="C141" s="4">
        <v>44900</v>
      </c>
      <c r="D141" t="s">
        <v>21</v>
      </c>
      <c r="E141" s="3">
        <v>12.99</v>
      </c>
      <c r="F141" s="5">
        <v>554.27251732101615</v>
      </c>
      <c r="G141" s="3" t="s">
        <v>10</v>
      </c>
      <c r="H141" s="3" t="s">
        <v>22</v>
      </c>
      <c r="I141" t="s">
        <v>38</v>
      </c>
      <c r="J141" t="s">
        <v>13</v>
      </c>
    </row>
    <row r="142" spans="2:10" x14ac:dyDescent="0.3">
      <c r="B142" s="3">
        <v>10591</v>
      </c>
      <c r="C142" s="4">
        <v>44900</v>
      </c>
      <c r="D142" t="s">
        <v>25</v>
      </c>
      <c r="E142" s="3">
        <v>9.9499999999999993</v>
      </c>
      <c r="F142" s="5">
        <v>201.00502512562818</v>
      </c>
      <c r="G142" s="3" t="s">
        <v>10</v>
      </c>
      <c r="H142" s="3" t="s">
        <v>22</v>
      </c>
      <c r="I142" t="s">
        <v>38</v>
      </c>
      <c r="J142" t="s">
        <v>13</v>
      </c>
    </row>
    <row r="143" spans="2:10" x14ac:dyDescent="0.3">
      <c r="B143" s="3">
        <v>10592</v>
      </c>
      <c r="C143" s="4">
        <v>44900</v>
      </c>
      <c r="D143" t="s">
        <v>9</v>
      </c>
      <c r="E143" s="3">
        <v>3.49</v>
      </c>
      <c r="F143" s="5">
        <v>573.06590257879645</v>
      </c>
      <c r="G143" s="3" t="s">
        <v>10</v>
      </c>
      <c r="H143" s="3" t="s">
        <v>22</v>
      </c>
      <c r="I143" t="s">
        <v>38</v>
      </c>
      <c r="J143" t="s">
        <v>13</v>
      </c>
    </row>
    <row r="144" spans="2:10" x14ac:dyDescent="0.3">
      <c r="B144" s="3">
        <v>10593</v>
      </c>
      <c r="C144" s="4">
        <v>44900</v>
      </c>
      <c r="D144" t="s">
        <v>14</v>
      </c>
      <c r="E144" s="3">
        <v>2.95</v>
      </c>
      <c r="F144" s="5">
        <v>677.96610169491521</v>
      </c>
      <c r="G144" s="3" t="s">
        <v>10</v>
      </c>
      <c r="H144" s="3" t="s">
        <v>22</v>
      </c>
      <c r="I144" t="s">
        <v>38</v>
      </c>
      <c r="J144" t="s">
        <v>13</v>
      </c>
    </row>
    <row r="145" spans="2:10" x14ac:dyDescent="0.3">
      <c r="B145" s="3">
        <v>10594</v>
      </c>
      <c r="C145" s="4">
        <v>44900</v>
      </c>
      <c r="D145" t="s">
        <v>17</v>
      </c>
      <c r="E145" s="3">
        <v>4.99</v>
      </c>
      <c r="F145" s="5">
        <v>200.40080160320639</v>
      </c>
      <c r="G145" s="3" t="s">
        <v>10</v>
      </c>
      <c r="H145" s="3" t="s">
        <v>22</v>
      </c>
      <c r="I145" t="s">
        <v>38</v>
      </c>
      <c r="J145" t="s">
        <v>13</v>
      </c>
    </row>
    <row r="146" spans="2:10" x14ac:dyDescent="0.3">
      <c r="B146" s="3">
        <v>10595</v>
      </c>
      <c r="C146" s="4">
        <v>44901</v>
      </c>
      <c r="D146" t="s">
        <v>21</v>
      </c>
      <c r="E146" s="3">
        <v>12.99</v>
      </c>
      <c r="F146" s="5">
        <v>538.87605850654347</v>
      </c>
      <c r="G146" s="3" t="s">
        <v>10</v>
      </c>
      <c r="H146" s="3" t="s">
        <v>22</v>
      </c>
      <c r="I146" t="s">
        <v>38</v>
      </c>
      <c r="J146" t="s">
        <v>13</v>
      </c>
    </row>
    <row r="147" spans="2:10" x14ac:dyDescent="0.3">
      <c r="B147" s="3">
        <v>10596</v>
      </c>
      <c r="C147" s="4">
        <v>44901</v>
      </c>
      <c r="D147" t="s">
        <v>25</v>
      </c>
      <c r="E147" s="3">
        <v>9.9499999999999993</v>
      </c>
      <c r="F147" s="5">
        <v>201.00502512562818</v>
      </c>
      <c r="G147" s="3" t="s">
        <v>10</v>
      </c>
      <c r="H147" s="3" t="s">
        <v>22</v>
      </c>
      <c r="I147" t="s">
        <v>38</v>
      </c>
      <c r="J147" t="s">
        <v>13</v>
      </c>
    </row>
    <row r="148" spans="2:10" x14ac:dyDescent="0.3">
      <c r="B148" s="3">
        <v>10597</v>
      </c>
      <c r="C148" s="4">
        <v>44901</v>
      </c>
      <c r="D148" t="s">
        <v>9</v>
      </c>
      <c r="E148" s="3">
        <v>3.49</v>
      </c>
      <c r="F148" s="5">
        <v>573.06590257879645</v>
      </c>
      <c r="G148" s="3" t="s">
        <v>10</v>
      </c>
      <c r="H148" s="3" t="s">
        <v>22</v>
      </c>
      <c r="I148" t="s">
        <v>38</v>
      </c>
      <c r="J148" t="s">
        <v>13</v>
      </c>
    </row>
    <row r="149" spans="2:10" x14ac:dyDescent="0.3">
      <c r="B149" s="3">
        <v>10598</v>
      </c>
      <c r="C149" s="4">
        <v>44901</v>
      </c>
      <c r="D149" t="s">
        <v>14</v>
      </c>
      <c r="E149" s="3">
        <v>2.95</v>
      </c>
      <c r="F149" s="5">
        <v>677.96610169491521</v>
      </c>
      <c r="G149" s="3" t="s">
        <v>10</v>
      </c>
      <c r="H149" s="3" t="s">
        <v>22</v>
      </c>
      <c r="I149" t="s">
        <v>38</v>
      </c>
      <c r="J149" t="s">
        <v>13</v>
      </c>
    </row>
    <row r="150" spans="2:10" x14ac:dyDescent="0.3">
      <c r="B150" s="3">
        <v>10599</v>
      </c>
      <c r="C150" s="4">
        <v>44901</v>
      </c>
      <c r="D150" t="s">
        <v>17</v>
      </c>
      <c r="E150" s="3">
        <v>4.99</v>
      </c>
      <c r="F150" s="5">
        <v>200.40080160320639</v>
      </c>
      <c r="G150" s="3" t="s">
        <v>10</v>
      </c>
      <c r="H150" s="3" t="s">
        <v>22</v>
      </c>
      <c r="I150" t="s">
        <v>38</v>
      </c>
      <c r="J150" t="s">
        <v>13</v>
      </c>
    </row>
    <row r="151" spans="2:10" x14ac:dyDescent="0.3">
      <c r="B151" s="3">
        <v>10600</v>
      </c>
      <c r="C151" s="4">
        <v>44902</v>
      </c>
      <c r="D151" t="s">
        <v>21</v>
      </c>
      <c r="E151" s="3">
        <v>12.99</v>
      </c>
      <c r="F151" s="5">
        <v>523.47959969207079</v>
      </c>
      <c r="G151" s="3" t="s">
        <v>10</v>
      </c>
      <c r="H151" s="3" t="s">
        <v>22</v>
      </c>
      <c r="I151" t="s">
        <v>38</v>
      </c>
      <c r="J151" t="s">
        <v>13</v>
      </c>
    </row>
    <row r="152" spans="2:10" x14ac:dyDescent="0.3">
      <c r="B152" s="3">
        <v>10601</v>
      </c>
      <c r="C152" s="4">
        <v>44902</v>
      </c>
      <c r="D152" t="s">
        <v>25</v>
      </c>
      <c r="E152" s="3">
        <v>9.9499999999999993</v>
      </c>
      <c r="F152" s="5">
        <v>201.00502512562818</v>
      </c>
      <c r="G152" s="3" t="s">
        <v>10</v>
      </c>
      <c r="H152" s="3" t="s">
        <v>22</v>
      </c>
      <c r="I152" t="s">
        <v>38</v>
      </c>
      <c r="J152" t="s">
        <v>13</v>
      </c>
    </row>
    <row r="153" spans="2:10" x14ac:dyDescent="0.3">
      <c r="B153" s="3">
        <v>10602</v>
      </c>
      <c r="C153" s="4">
        <v>44902</v>
      </c>
      <c r="D153" t="s">
        <v>9</v>
      </c>
      <c r="E153" s="3">
        <v>3.49</v>
      </c>
      <c r="F153" s="5">
        <v>630.3724928366762</v>
      </c>
      <c r="G153" s="3" t="s">
        <v>10</v>
      </c>
      <c r="H153" s="3" t="s">
        <v>37</v>
      </c>
      <c r="I153" t="s">
        <v>38</v>
      </c>
      <c r="J153" t="s">
        <v>13</v>
      </c>
    </row>
    <row r="154" spans="2:10" x14ac:dyDescent="0.3">
      <c r="B154" s="3">
        <v>10603</v>
      </c>
      <c r="C154" s="4">
        <v>44902</v>
      </c>
      <c r="D154" t="s">
        <v>14</v>
      </c>
      <c r="E154" s="3">
        <v>2.95</v>
      </c>
      <c r="F154" s="5">
        <v>677.96610169491521</v>
      </c>
      <c r="G154" s="3" t="s">
        <v>10</v>
      </c>
      <c r="H154" s="3" t="s">
        <v>37</v>
      </c>
      <c r="I154" t="s">
        <v>38</v>
      </c>
      <c r="J154" t="s">
        <v>13</v>
      </c>
    </row>
    <row r="155" spans="2:10" x14ac:dyDescent="0.3">
      <c r="B155" s="3">
        <v>10604</v>
      </c>
      <c r="C155" s="4">
        <v>44902</v>
      </c>
      <c r="D155" t="s">
        <v>17</v>
      </c>
      <c r="E155" s="3">
        <v>4.99</v>
      </c>
      <c r="F155" s="5">
        <v>200.40080160320639</v>
      </c>
      <c r="G155" s="3" t="s">
        <v>10</v>
      </c>
      <c r="H155" s="3" t="s">
        <v>37</v>
      </c>
      <c r="I155" t="s">
        <v>38</v>
      </c>
      <c r="J155" t="s">
        <v>13</v>
      </c>
    </row>
    <row r="156" spans="2:10" x14ac:dyDescent="0.3">
      <c r="B156" s="3">
        <v>10605</v>
      </c>
      <c r="C156" s="4">
        <v>44903</v>
      </c>
      <c r="D156" t="s">
        <v>21</v>
      </c>
      <c r="E156" s="3">
        <v>12.99</v>
      </c>
      <c r="F156" s="5">
        <v>538.87605850654347</v>
      </c>
      <c r="G156" s="3" t="s">
        <v>10</v>
      </c>
      <c r="H156" s="3" t="s">
        <v>37</v>
      </c>
      <c r="I156" t="s">
        <v>38</v>
      </c>
      <c r="J156" t="s">
        <v>13</v>
      </c>
    </row>
    <row r="157" spans="2:10" x14ac:dyDescent="0.3">
      <c r="B157" s="3">
        <v>10606</v>
      </c>
      <c r="C157" s="4">
        <v>44903</v>
      </c>
      <c r="D157" t="s">
        <v>25</v>
      </c>
      <c r="E157" s="3">
        <v>9.9499999999999993</v>
      </c>
      <c r="F157" s="5">
        <v>201.00502512562818</v>
      </c>
      <c r="G157" s="3" t="s">
        <v>10</v>
      </c>
      <c r="H157" s="3" t="s">
        <v>37</v>
      </c>
      <c r="I157" t="s">
        <v>38</v>
      </c>
      <c r="J157" t="s">
        <v>13</v>
      </c>
    </row>
    <row r="158" spans="2:10" x14ac:dyDescent="0.3">
      <c r="B158" s="3">
        <v>10607</v>
      </c>
      <c r="C158" s="4">
        <v>44903</v>
      </c>
      <c r="D158" t="s">
        <v>9</v>
      </c>
      <c r="E158" s="3">
        <v>3.49</v>
      </c>
      <c r="F158" s="5">
        <v>630.3724928366762</v>
      </c>
      <c r="G158" s="3" t="s">
        <v>10</v>
      </c>
      <c r="H158" s="3" t="s">
        <v>37</v>
      </c>
      <c r="I158" t="s">
        <v>38</v>
      </c>
      <c r="J158" t="s">
        <v>13</v>
      </c>
    </row>
    <row r="159" spans="2:10" x14ac:dyDescent="0.3">
      <c r="B159" s="3">
        <v>10608</v>
      </c>
      <c r="C159" s="4">
        <v>44903</v>
      </c>
      <c r="D159" t="s">
        <v>14</v>
      </c>
      <c r="E159" s="3">
        <v>2.95</v>
      </c>
      <c r="F159" s="5">
        <v>677.96610169491521</v>
      </c>
      <c r="G159" s="3" t="s">
        <v>10</v>
      </c>
      <c r="H159" s="3" t="s">
        <v>11</v>
      </c>
      <c r="I159" t="s">
        <v>38</v>
      </c>
      <c r="J159" t="s">
        <v>13</v>
      </c>
    </row>
    <row r="160" spans="2:10" x14ac:dyDescent="0.3">
      <c r="B160" s="3">
        <v>10609</v>
      </c>
      <c r="C160" s="4">
        <v>44903</v>
      </c>
      <c r="D160" t="s">
        <v>17</v>
      </c>
      <c r="E160" s="3">
        <v>4.99</v>
      </c>
      <c r="F160" s="5">
        <v>200.40080160320639</v>
      </c>
      <c r="G160" s="3" t="s">
        <v>10</v>
      </c>
      <c r="H160" s="3" t="s">
        <v>11</v>
      </c>
      <c r="I160" t="s">
        <v>38</v>
      </c>
      <c r="J160" t="s">
        <v>13</v>
      </c>
    </row>
    <row r="161" spans="2:10" x14ac:dyDescent="0.3">
      <c r="B161" s="3">
        <v>10610</v>
      </c>
      <c r="C161" s="4">
        <v>44904</v>
      </c>
      <c r="D161" t="s">
        <v>21</v>
      </c>
      <c r="E161" s="3">
        <v>12.99</v>
      </c>
      <c r="F161" s="5">
        <v>569.66897613548883</v>
      </c>
      <c r="G161" s="3" t="s">
        <v>10</v>
      </c>
      <c r="H161" s="3" t="s">
        <v>11</v>
      </c>
      <c r="I161" t="s">
        <v>38</v>
      </c>
      <c r="J161" t="s">
        <v>13</v>
      </c>
    </row>
    <row r="162" spans="2:10" x14ac:dyDescent="0.3">
      <c r="B162" s="3">
        <v>10611</v>
      </c>
      <c r="C162" s="4">
        <v>44904</v>
      </c>
      <c r="D162" t="s">
        <v>25</v>
      </c>
      <c r="E162" s="3">
        <v>9.9499999999999993</v>
      </c>
      <c r="F162" s="5">
        <v>201.00502512562818</v>
      </c>
      <c r="G162" s="3" t="s">
        <v>10</v>
      </c>
      <c r="H162" s="3" t="s">
        <v>11</v>
      </c>
      <c r="I162" t="s">
        <v>38</v>
      </c>
      <c r="J162" t="s">
        <v>13</v>
      </c>
    </row>
    <row r="163" spans="2:10" x14ac:dyDescent="0.3">
      <c r="B163" s="3">
        <v>10612</v>
      </c>
      <c r="C163" s="4">
        <v>44904</v>
      </c>
      <c r="D163" t="s">
        <v>9</v>
      </c>
      <c r="E163" s="3">
        <v>3.49</v>
      </c>
      <c r="F163" s="5">
        <v>630.3724928366762</v>
      </c>
      <c r="G163" s="3" t="s">
        <v>10</v>
      </c>
      <c r="H163" s="3" t="s">
        <v>11</v>
      </c>
      <c r="I163" t="s">
        <v>38</v>
      </c>
      <c r="J163" t="s">
        <v>13</v>
      </c>
    </row>
    <row r="164" spans="2:10" x14ac:dyDescent="0.3">
      <c r="B164" s="3">
        <v>10613</v>
      </c>
      <c r="C164" s="4">
        <v>44904</v>
      </c>
      <c r="D164" t="s">
        <v>14</v>
      </c>
      <c r="E164" s="3">
        <v>2.95</v>
      </c>
      <c r="F164" s="5">
        <v>677.96610169491521</v>
      </c>
      <c r="G164" s="3" t="s">
        <v>10</v>
      </c>
      <c r="H164" s="3" t="s">
        <v>11</v>
      </c>
      <c r="I164" t="s">
        <v>38</v>
      </c>
      <c r="J164" t="s">
        <v>13</v>
      </c>
    </row>
    <row r="165" spans="2:10" x14ac:dyDescent="0.3">
      <c r="B165" s="3">
        <v>10614</v>
      </c>
      <c r="C165" s="4">
        <v>44904</v>
      </c>
      <c r="D165" t="s">
        <v>17</v>
      </c>
      <c r="E165" s="3">
        <v>4.99</v>
      </c>
      <c r="F165" s="5">
        <v>200.40080160320639</v>
      </c>
      <c r="G165" s="3" t="s">
        <v>10</v>
      </c>
      <c r="H165" s="3" t="s">
        <v>11</v>
      </c>
      <c r="I165" t="s">
        <v>38</v>
      </c>
      <c r="J165" t="s">
        <v>13</v>
      </c>
    </row>
    <row r="166" spans="2:10" x14ac:dyDescent="0.3">
      <c r="B166" s="3">
        <v>10615</v>
      </c>
      <c r="C166" s="4">
        <v>44905</v>
      </c>
      <c r="D166" t="s">
        <v>21</v>
      </c>
      <c r="E166" s="3">
        <v>12.99</v>
      </c>
      <c r="F166" s="5">
        <v>569.66897613548883</v>
      </c>
      <c r="G166" s="3" t="s">
        <v>10</v>
      </c>
      <c r="H166" s="3" t="s">
        <v>11</v>
      </c>
      <c r="I166" t="s">
        <v>38</v>
      </c>
      <c r="J166" t="s">
        <v>13</v>
      </c>
    </row>
    <row r="167" spans="2:10" x14ac:dyDescent="0.3">
      <c r="B167" s="3">
        <v>10616</v>
      </c>
      <c r="C167" s="4">
        <v>44905</v>
      </c>
      <c r="D167" t="s">
        <v>25</v>
      </c>
      <c r="E167" s="3">
        <v>9.9499999999999993</v>
      </c>
      <c r="F167" s="5">
        <v>201.00502512562818</v>
      </c>
      <c r="G167" s="3" t="s">
        <v>10</v>
      </c>
      <c r="H167" s="3" t="s">
        <v>11</v>
      </c>
      <c r="I167" t="s">
        <v>38</v>
      </c>
      <c r="J167" t="s">
        <v>13</v>
      </c>
    </row>
    <row r="168" spans="2:10" x14ac:dyDescent="0.3">
      <c r="B168" s="3">
        <v>10617</v>
      </c>
      <c r="C168" s="4">
        <v>44905</v>
      </c>
      <c r="D168" t="s">
        <v>9</v>
      </c>
      <c r="E168" s="3">
        <v>3.49</v>
      </c>
      <c r="F168" s="5">
        <v>630.3724928366762</v>
      </c>
      <c r="G168" s="3" t="s">
        <v>10</v>
      </c>
      <c r="H168" s="3" t="s">
        <v>11</v>
      </c>
      <c r="I168" t="s">
        <v>38</v>
      </c>
      <c r="J168" t="s">
        <v>13</v>
      </c>
    </row>
    <row r="169" spans="2:10" x14ac:dyDescent="0.3">
      <c r="B169" s="3">
        <v>10618</v>
      </c>
      <c r="C169" s="4">
        <v>44905</v>
      </c>
      <c r="D169" t="s">
        <v>14</v>
      </c>
      <c r="E169" s="3">
        <v>2.95</v>
      </c>
      <c r="F169" s="5">
        <v>677.96610169491521</v>
      </c>
      <c r="G169" s="3" t="s">
        <v>10</v>
      </c>
      <c r="H169" s="3" t="s">
        <v>11</v>
      </c>
      <c r="I169" t="s">
        <v>38</v>
      </c>
      <c r="J169" t="s">
        <v>13</v>
      </c>
    </row>
    <row r="170" spans="2:10" x14ac:dyDescent="0.3">
      <c r="B170" s="3">
        <v>10619</v>
      </c>
      <c r="C170" s="4">
        <v>44905</v>
      </c>
      <c r="D170" t="s">
        <v>17</v>
      </c>
      <c r="E170" s="3">
        <v>4.99</v>
      </c>
      <c r="F170" s="5">
        <v>200.40080160320639</v>
      </c>
      <c r="G170" s="3" t="s">
        <v>10</v>
      </c>
      <c r="H170" s="3" t="s">
        <v>11</v>
      </c>
      <c r="I170" t="s">
        <v>38</v>
      </c>
      <c r="J170" t="s">
        <v>13</v>
      </c>
    </row>
    <row r="171" spans="2:10" x14ac:dyDescent="0.3">
      <c r="B171" s="3">
        <v>10620</v>
      </c>
      <c r="C171" s="4">
        <v>44906</v>
      </c>
      <c r="D171" t="s">
        <v>21</v>
      </c>
      <c r="E171" s="3">
        <v>12.99</v>
      </c>
      <c r="F171" s="5">
        <v>585.06543494996151</v>
      </c>
      <c r="G171" s="3" t="s">
        <v>10</v>
      </c>
      <c r="H171" s="3" t="s">
        <v>11</v>
      </c>
      <c r="I171" t="s">
        <v>38</v>
      </c>
      <c r="J171" t="s">
        <v>13</v>
      </c>
    </row>
    <row r="172" spans="2:10" x14ac:dyDescent="0.3">
      <c r="B172" s="3">
        <v>10621</v>
      </c>
      <c r="C172" s="4">
        <v>44906</v>
      </c>
      <c r="D172" t="s">
        <v>25</v>
      </c>
      <c r="E172" s="3">
        <v>9.9499999999999993</v>
      </c>
      <c r="F172" s="5">
        <v>201.00502512562818</v>
      </c>
      <c r="G172" s="3" t="s">
        <v>10</v>
      </c>
      <c r="H172" s="3" t="s">
        <v>11</v>
      </c>
      <c r="I172" t="s">
        <v>38</v>
      </c>
      <c r="J172" t="s">
        <v>13</v>
      </c>
    </row>
    <row r="173" spans="2:10" x14ac:dyDescent="0.3">
      <c r="B173" s="3">
        <v>10622</v>
      </c>
      <c r="C173" s="4">
        <v>44906</v>
      </c>
      <c r="D173" t="s">
        <v>9</v>
      </c>
      <c r="E173" s="3">
        <v>3.49</v>
      </c>
      <c r="F173" s="5">
        <v>630.3724928366762</v>
      </c>
      <c r="G173" s="3" t="s">
        <v>10</v>
      </c>
      <c r="H173" s="3" t="s">
        <v>11</v>
      </c>
      <c r="I173" t="s">
        <v>38</v>
      </c>
      <c r="J173" t="s">
        <v>13</v>
      </c>
    </row>
    <row r="174" spans="2:10" x14ac:dyDescent="0.3">
      <c r="B174" s="3">
        <v>10623</v>
      </c>
      <c r="C174" s="4">
        <v>44906</v>
      </c>
      <c r="D174" t="s">
        <v>14</v>
      </c>
      <c r="E174" s="3">
        <v>2.95</v>
      </c>
      <c r="F174" s="5">
        <v>745.7627118644067</v>
      </c>
      <c r="G174" s="3" t="s">
        <v>10</v>
      </c>
      <c r="H174" s="3" t="s">
        <v>11</v>
      </c>
      <c r="I174" t="s">
        <v>38</v>
      </c>
      <c r="J174" t="s">
        <v>13</v>
      </c>
    </row>
    <row r="175" spans="2:10" x14ac:dyDescent="0.3">
      <c r="B175" s="3">
        <v>10624</v>
      </c>
      <c r="C175" s="4">
        <v>44906</v>
      </c>
      <c r="D175" t="s">
        <v>17</v>
      </c>
      <c r="E175" s="3">
        <v>4.99</v>
      </c>
      <c r="F175" s="5">
        <v>200.40080160320639</v>
      </c>
      <c r="G175" s="3" t="s">
        <v>10</v>
      </c>
      <c r="H175" s="3" t="s">
        <v>11</v>
      </c>
      <c r="I175" t="s">
        <v>38</v>
      </c>
      <c r="J175" t="s">
        <v>13</v>
      </c>
    </row>
    <row r="176" spans="2:10" x14ac:dyDescent="0.3">
      <c r="B176" s="3">
        <v>10625</v>
      </c>
      <c r="C176" s="4">
        <v>44907</v>
      </c>
      <c r="D176" t="s">
        <v>21</v>
      </c>
      <c r="E176" s="3">
        <v>12.99</v>
      </c>
      <c r="F176" s="5">
        <v>569.66897613548883</v>
      </c>
      <c r="G176" s="3" t="s">
        <v>10</v>
      </c>
      <c r="H176" s="3" t="s">
        <v>11</v>
      </c>
      <c r="I176" t="s">
        <v>38</v>
      </c>
      <c r="J176" t="s">
        <v>13</v>
      </c>
    </row>
    <row r="177" spans="2:10" x14ac:dyDescent="0.3">
      <c r="B177" s="3">
        <v>10626</v>
      </c>
      <c r="C177" s="4">
        <v>44907</v>
      </c>
      <c r="D177" t="s">
        <v>25</v>
      </c>
      <c r="E177" s="3">
        <v>9.9499999999999993</v>
      </c>
      <c r="F177" s="5">
        <v>201.00502512562818</v>
      </c>
      <c r="G177" s="3" t="s">
        <v>10</v>
      </c>
      <c r="H177" s="3" t="s">
        <v>11</v>
      </c>
      <c r="I177" t="s">
        <v>38</v>
      </c>
      <c r="J177" t="s">
        <v>13</v>
      </c>
    </row>
    <row r="178" spans="2:10" x14ac:dyDescent="0.3">
      <c r="B178" s="3">
        <v>10627</v>
      </c>
      <c r="C178" s="4">
        <v>44907</v>
      </c>
      <c r="D178" t="s">
        <v>9</v>
      </c>
      <c r="E178" s="3">
        <v>3.49</v>
      </c>
      <c r="F178" s="5">
        <v>630.3724928366762</v>
      </c>
      <c r="G178" s="3" t="s">
        <v>10</v>
      </c>
      <c r="H178" s="3" t="s">
        <v>11</v>
      </c>
      <c r="I178" t="s">
        <v>38</v>
      </c>
      <c r="J178" t="s">
        <v>13</v>
      </c>
    </row>
    <row r="179" spans="2:10" x14ac:dyDescent="0.3">
      <c r="B179" s="3">
        <v>10628</v>
      </c>
      <c r="C179" s="4">
        <v>44907</v>
      </c>
      <c r="D179" t="s">
        <v>14</v>
      </c>
      <c r="E179" s="3">
        <v>2.95</v>
      </c>
      <c r="F179" s="5">
        <v>677.96610169491521</v>
      </c>
      <c r="G179" s="3" t="s">
        <v>10</v>
      </c>
      <c r="H179" s="3" t="s">
        <v>11</v>
      </c>
      <c r="I179" s="6" t="s">
        <v>35</v>
      </c>
      <c r="J179" t="s">
        <v>20</v>
      </c>
    </row>
    <row r="180" spans="2:10" x14ac:dyDescent="0.3">
      <c r="B180" s="3">
        <v>10629</v>
      </c>
      <c r="C180" s="4">
        <v>44907</v>
      </c>
      <c r="D180" t="s">
        <v>17</v>
      </c>
      <c r="E180" s="3">
        <v>4.99</v>
      </c>
      <c r="F180" s="5">
        <v>200.40080160320639</v>
      </c>
      <c r="G180" s="3" t="s">
        <v>10</v>
      </c>
      <c r="H180" s="3" t="s">
        <v>11</v>
      </c>
      <c r="I180" s="6" t="s">
        <v>35</v>
      </c>
      <c r="J180" t="s">
        <v>20</v>
      </c>
    </row>
    <row r="181" spans="2:10" x14ac:dyDescent="0.3">
      <c r="B181" s="3">
        <v>10630</v>
      </c>
      <c r="C181" s="4">
        <v>44908</v>
      </c>
      <c r="D181" t="s">
        <v>21</v>
      </c>
      <c r="E181" s="3">
        <v>12.99</v>
      </c>
      <c r="F181" s="5">
        <v>569.66897613548883</v>
      </c>
      <c r="G181" s="3" t="s">
        <v>10</v>
      </c>
      <c r="H181" s="3" t="s">
        <v>37</v>
      </c>
      <c r="I181" s="6" t="s">
        <v>35</v>
      </c>
      <c r="J181" t="s">
        <v>20</v>
      </c>
    </row>
    <row r="182" spans="2:10" x14ac:dyDescent="0.3">
      <c r="B182" s="3">
        <v>10631</v>
      </c>
      <c r="C182" s="4">
        <v>44908</v>
      </c>
      <c r="D182" t="s">
        <v>25</v>
      </c>
      <c r="E182" s="3">
        <v>9.9499999999999993</v>
      </c>
      <c r="F182" s="5">
        <v>201.00502512562818</v>
      </c>
      <c r="G182" s="3" t="s">
        <v>10</v>
      </c>
      <c r="H182" s="3" t="s">
        <v>11</v>
      </c>
      <c r="I182" s="6" t="s">
        <v>35</v>
      </c>
      <c r="J182" t="s">
        <v>20</v>
      </c>
    </row>
    <row r="183" spans="2:10" x14ac:dyDescent="0.3">
      <c r="B183" s="3">
        <v>10632</v>
      </c>
      <c r="C183" s="4">
        <v>44908</v>
      </c>
      <c r="D183" t="s">
        <v>9</v>
      </c>
      <c r="E183" s="3">
        <v>3.49</v>
      </c>
      <c r="F183" s="5">
        <v>630.3724928366762</v>
      </c>
      <c r="G183" s="3" t="s">
        <v>10</v>
      </c>
      <c r="H183" s="3" t="s">
        <v>11</v>
      </c>
      <c r="I183" s="6" t="s">
        <v>35</v>
      </c>
      <c r="J183" t="s">
        <v>20</v>
      </c>
    </row>
    <row r="184" spans="2:10" x14ac:dyDescent="0.3">
      <c r="B184" s="3">
        <v>10633</v>
      </c>
      <c r="C184" s="4">
        <v>44908</v>
      </c>
      <c r="D184" t="s">
        <v>14</v>
      </c>
      <c r="E184" s="3">
        <v>2.95</v>
      </c>
      <c r="F184" s="5">
        <v>677.96610169491521</v>
      </c>
      <c r="G184" s="3" t="s">
        <v>10</v>
      </c>
      <c r="H184" s="3" t="s">
        <v>11</v>
      </c>
      <c r="I184" s="6" t="s">
        <v>35</v>
      </c>
      <c r="J184" t="s">
        <v>20</v>
      </c>
    </row>
    <row r="185" spans="2:10" x14ac:dyDescent="0.3">
      <c r="B185" s="3">
        <v>10634</v>
      </c>
      <c r="C185" s="4">
        <v>44908</v>
      </c>
      <c r="D185" t="s">
        <v>17</v>
      </c>
      <c r="E185" s="3">
        <v>4.99</v>
      </c>
      <c r="F185" s="5">
        <v>200.40080160320639</v>
      </c>
      <c r="G185" s="3" t="s">
        <v>10</v>
      </c>
      <c r="H185" s="3" t="s">
        <v>11</v>
      </c>
      <c r="I185" s="6" t="s">
        <v>35</v>
      </c>
      <c r="J185" t="s">
        <v>20</v>
      </c>
    </row>
    <row r="186" spans="2:10" x14ac:dyDescent="0.3">
      <c r="B186" s="3">
        <v>10635</v>
      </c>
      <c r="C186" s="4">
        <v>44909</v>
      </c>
      <c r="D186" t="s">
        <v>21</v>
      </c>
      <c r="E186" s="3">
        <v>12.99</v>
      </c>
      <c r="F186" s="5">
        <v>554.27251732101615</v>
      </c>
      <c r="G186" s="3" t="s">
        <v>10</v>
      </c>
      <c r="H186" s="3" t="s">
        <v>11</v>
      </c>
      <c r="I186" s="6" t="s">
        <v>35</v>
      </c>
      <c r="J186" t="s">
        <v>20</v>
      </c>
    </row>
    <row r="187" spans="2:10" x14ac:dyDescent="0.3">
      <c r="B187" s="3">
        <v>10636</v>
      </c>
      <c r="C187" s="4">
        <v>44909</v>
      </c>
      <c r="D187" t="s">
        <v>25</v>
      </c>
      <c r="E187" s="3">
        <v>9.9499999999999993</v>
      </c>
      <c r="F187" s="5">
        <v>221.10552763819098</v>
      </c>
      <c r="G187" s="3" t="s">
        <v>10</v>
      </c>
      <c r="H187" s="3" t="s">
        <v>11</v>
      </c>
      <c r="I187" s="6" t="s">
        <v>35</v>
      </c>
      <c r="J187" t="s">
        <v>20</v>
      </c>
    </row>
    <row r="188" spans="2:10" x14ac:dyDescent="0.3">
      <c r="B188" s="3">
        <v>10637</v>
      </c>
      <c r="C188" s="4">
        <v>44909</v>
      </c>
      <c r="D188" t="s">
        <v>9</v>
      </c>
      <c r="E188" s="3">
        <v>3.49</v>
      </c>
      <c r="F188" s="5">
        <v>630.3724928366762</v>
      </c>
      <c r="G188" s="3" t="s">
        <v>10</v>
      </c>
      <c r="H188" s="3" t="s">
        <v>11</v>
      </c>
      <c r="I188" s="6" t="s">
        <v>35</v>
      </c>
      <c r="J188" t="s">
        <v>20</v>
      </c>
    </row>
    <row r="189" spans="2:10" x14ac:dyDescent="0.3">
      <c r="B189" s="3">
        <v>10638</v>
      </c>
      <c r="C189" s="4">
        <v>44909</v>
      </c>
      <c r="D189" t="s">
        <v>14</v>
      </c>
      <c r="E189" s="3">
        <v>2.95</v>
      </c>
      <c r="F189" s="5">
        <v>677.96610169491521</v>
      </c>
      <c r="G189" s="3" t="s">
        <v>10</v>
      </c>
      <c r="H189" s="3" t="s">
        <v>11</v>
      </c>
      <c r="I189" s="6" t="s">
        <v>35</v>
      </c>
      <c r="J189" t="s">
        <v>20</v>
      </c>
    </row>
    <row r="190" spans="2:10" x14ac:dyDescent="0.3">
      <c r="B190" s="3">
        <v>10639</v>
      </c>
      <c r="C190" s="4">
        <v>44909</v>
      </c>
      <c r="D190" t="s">
        <v>17</v>
      </c>
      <c r="E190" s="3">
        <v>4.99</v>
      </c>
      <c r="F190" s="5">
        <v>200.40080160320639</v>
      </c>
      <c r="G190" s="3" t="s">
        <v>10</v>
      </c>
      <c r="H190" s="3" t="s">
        <v>11</v>
      </c>
      <c r="I190" s="6" t="s">
        <v>35</v>
      </c>
      <c r="J190" t="s">
        <v>20</v>
      </c>
    </row>
    <row r="191" spans="2:10" x14ac:dyDescent="0.3">
      <c r="B191" s="3">
        <v>10640</v>
      </c>
      <c r="C191" s="4">
        <v>44910</v>
      </c>
      <c r="D191" t="s">
        <v>21</v>
      </c>
      <c r="E191" s="3">
        <v>12.99</v>
      </c>
      <c r="F191" s="5">
        <v>538.87605850654347</v>
      </c>
      <c r="G191" s="3" t="s">
        <v>10</v>
      </c>
      <c r="H191" s="3" t="s">
        <v>11</v>
      </c>
      <c r="I191" s="6" t="s">
        <v>35</v>
      </c>
      <c r="J191" t="s">
        <v>20</v>
      </c>
    </row>
    <row r="192" spans="2:10" x14ac:dyDescent="0.3">
      <c r="B192" s="3">
        <v>10641</v>
      </c>
      <c r="C192" s="4">
        <v>44910</v>
      </c>
      <c r="D192" t="s">
        <v>25</v>
      </c>
      <c r="E192" s="3">
        <v>9.9499999999999993</v>
      </c>
      <c r="F192" s="5">
        <v>221.10552763819098</v>
      </c>
      <c r="G192" s="3" t="s">
        <v>10</v>
      </c>
      <c r="H192" s="3" t="s">
        <v>11</v>
      </c>
      <c r="I192" s="6" t="s">
        <v>35</v>
      </c>
      <c r="J192" t="s">
        <v>20</v>
      </c>
    </row>
    <row r="193" spans="2:10" x14ac:dyDescent="0.3">
      <c r="B193" s="3">
        <v>10642</v>
      </c>
      <c r="C193" s="4">
        <v>44910</v>
      </c>
      <c r="D193" t="s">
        <v>9</v>
      </c>
      <c r="E193" s="3">
        <v>3.49</v>
      </c>
      <c r="F193" s="5">
        <v>630.3724928366762</v>
      </c>
      <c r="G193" s="3" t="s">
        <v>10</v>
      </c>
      <c r="H193" s="3" t="s">
        <v>37</v>
      </c>
      <c r="I193" s="6" t="s">
        <v>35</v>
      </c>
      <c r="J193" t="s">
        <v>20</v>
      </c>
    </row>
    <row r="194" spans="2:10" x14ac:dyDescent="0.3">
      <c r="B194" s="3">
        <v>10643</v>
      </c>
      <c r="C194" s="4">
        <v>44910</v>
      </c>
      <c r="D194" t="s">
        <v>14</v>
      </c>
      <c r="E194" s="3">
        <v>2.95</v>
      </c>
      <c r="F194" s="5">
        <v>677.96610169491521</v>
      </c>
      <c r="G194" s="3" t="s">
        <v>10</v>
      </c>
      <c r="H194" s="3" t="s">
        <v>37</v>
      </c>
      <c r="I194" s="6" t="s">
        <v>35</v>
      </c>
      <c r="J194" t="s">
        <v>20</v>
      </c>
    </row>
    <row r="195" spans="2:10" x14ac:dyDescent="0.3">
      <c r="B195" s="3">
        <v>10644</v>
      </c>
      <c r="C195" s="4">
        <v>44910</v>
      </c>
      <c r="D195" t="s">
        <v>17</v>
      </c>
      <c r="E195" s="3">
        <v>4.99</v>
      </c>
      <c r="F195" s="5">
        <v>200.40080160320639</v>
      </c>
      <c r="G195" s="3" t="s">
        <v>10</v>
      </c>
      <c r="H195" s="3" t="s">
        <v>37</v>
      </c>
      <c r="I195" s="6" t="s">
        <v>35</v>
      </c>
      <c r="J195" t="s">
        <v>20</v>
      </c>
    </row>
    <row r="196" spans="2:10" x14ac:dyDescent="0.3">
      <c r="B196" s="3">
        <v>10645</v>
      </c>
      <c r="C196" s="4">
        <v>44911</v>
      </c>
      <c r="D196" t="s">
        <v>21</v>
      </c>
      <c r="E196" s="3">
        <v>12.99</v>
      </c>
      <c r="F196" s="5">
        <v>569.66897613548883</v>
      </c>
      <c r="G196" s="3" t="s">
        <v>10</v>
      </c>
      <c r="H196" s="3" t="s">
        <v>37</v>
      </c>
      <c r="I196" s="6" t="s">
        <v>35</v>
      </c>
      <c r="J196" t="s">
        <v>20</v>
      </c>
    </row>
    <row r="197" spans="2:10" x14ac:dyDescent="0.3">
      <c r="B197" s="3">
        <v>10646</v>
      </c>
      <c r="C197" s="4">
        <v>44911</v>
      </c>
      <c r="D197" t="s">
        <v>25</v>
      </c>
      <c r="E197" s="3">
        <v>9.9499999999999993</v>
      </c>
      <c r="F197" s="5">
        <v>221.10552763819098</v>
      </c>
      <c r="G197" s="3" t="s">
        <v>10</v>
      </c>
      <c r="H197" s="3" t="s">
        <v>37</v>
      </c>
      <c r="I197" s="6" t="s">
        <v>35</v>
      </c>
      <c r="J197" t="s">
        <v>20</v>
      </c>
    </row>
    <row r="198" spans="2:10" x14ac:dyDescent="0.3">
      <c r="B198" s="3">
        <v>10647</v>
      </c>
      <c r="C198" s="4">
        <v>44911</v>
      </c>
      <c r="D198" t="s">
        <v>9</v>
      </c>
      <c r="E198" s="3">
        <v>3.49</v>
      </c>
      <c r="F198" s="5">
        <v>630.3724928366762</v>
      </c>
      <c r="G198" s="3" t="s">
        <v>10</v>
      </c>
      <c r="H198" s="3" t="s">
        <v>11</v>
      </c>
      <c r="I198" s="6" t="s">
        <v>35</v>
      </c>
      <c r="J198" t="s">
        <v>20</v>
      </c>
    </row>
    <row r="199" spans="2:10" x14ac:dyDescent="0.3">
      <c r="B199" s="3">
        <v>10648</v>
      </c>
      <c r="C199" s="4">
        <v>44911</v>
      </c>
      <c r="D199" t="s">
        <v>14</v>
      </c>
      <c r="E199" s="3">
        <v>2.95</v>
      </c>
      <c r="F199" s="5">
        <v>745.7627118644067</v>
      </c>
      <c r="G199" s="3" t="s">
        <v>10</v>
      </c>
      <c r="H199" s="3" t="s">
        <v>11</v>
      </c>
      <c r="I199" s="6" t="s">
        <v>35</v>
      </c>
      <c r="J199" t="s">
        <v>20</v>
      </c>
    </row>
    <row r="200" spans="2:10" x14ac:dyDescent="0.3">
      <c r="B200" s="3">
        <v>10649</v>
      </c>
      <c r="C200" s="4">
        <v>44911</v>
      </c>
      <c r="D200" t="s">
        <v>17</v>
      </c>
      <c r="E200" s="3">
        <v>4.99</v>
      </c>
      <c r="F200" s="5">
        <v>200.40080160320639</v>
      </c>
      <c r="G200" s="3" t="s">
        <v>10</v>
      </c>
      <c r="H200" s="3" t="s">
        <v>11</v>
      </c>
      <c r="I200" s="6" t="s">
        <v>35</v>
      </c>
      <c r="J200" t="s">
        <v>20</v>
      </c>
    </row>
    <row r="201" spans="2:10" x14ac:dyDescent="0.3">
      <c r="B201" s="3">
        <v>10650</v>
      </c>
      <c r="C201" s="4">
        <v>44912</v>
      </c>
      <c r="D201" t="s">
        <v>21</v>
      </c>
      <c r="E201" s="3">
        <v>12.99</v>
      </c>
      <c r="F201" s="5">
        <v>585.06543494996151</v>
      </c>
      <c r="G201" s="3" t="s">
        <v>10</v>
      </c>
      <c r="H201" s="3" t="s">
        <v>11</v>
      </c>
      <c r="I201" s="6" t="s">
        <v>35</v>
      </c>
      <c r="J201" t="s">
        <v>20</v>
      </c>
    </row>
    <row r="202" spans="2:10" x14ac:dyDescent="0.3">
      <c r="B202" s="3">
        <v>10651</v>
      </c>
      <c r="C202" s="4">
        <v>44912</v>
      </c>
      <c r="D202" t="s">
        <v>25</v>
      </c>
      <c r="E202" s="3">
        <v>9.9499999999999993</v>
      </c>
      <c r="F202" s="5">
        <v>221.10552763819098</v>
      </c>
      <c r="G202" s="3" t="s">
        <v>10</v>
      </c>
      <c r="H202" s="3" t="s">
        <v>11</v>
      </c>
      <c r="I202" s="6" t="s">
        <v>35</v>
      </c>
      <c r="J202" t="s">
        <v>20</v>
      </c>
    </row>
    <row r="203" spans="2:10" x14ac:dyDescent="0.3">
      <c r="B203" s="3">
        <v>10652</v>
      </c>
      <c r="C203" s="4">
        <v>44912</v>
      </c>
      <c r="D203" t="s">
        <v>9</v>
      </c>
      <c r="E203" s="3">
        <v>3.49</v>
      </c>
      <c r="F203" s="5">
        <v>687.67908309455584</v>
      </c>
      <c r="G203" s="3" t="s">
        <v>10</v>
      </c>
      <c r="H203" s="3" t="s">
        <v>11</v>
      </c>
      <c r="I203" s="6" t="s">
        <v>35</v>
      </c>
      <c r="J203" t="s">
        <v>20</v>
      </c>
    </row>
    <row r="204" spans="2:10" x14ac:dyDescent="0.3">
      <c r="B204" s="3">
        <v>10653</v>
      </c>
      <c r="C204" s="4">
        <v>44912</v>
      </c>
      <c r="D204" t="s">
        <v>14</v>
      </c>
      <c r="E204" s="3">
        <v>2.95</v>
      </c>
      <c r="F204" s="5">
        <v>745.7627118644067</v>
      </c>
      <c r="G204" s="3" t="s">
        <v>10</v>
      </c>
      <c r="H204" s="3" t="s">
        <v>11</v>
      </c>
      <c r="I204" s="6" t="s">
        <v>35</v>
      </c>
      <c r="J204" t="s">
        <v>20</v>
      </c>
    </row>
    <row r="205" spans="2:10" x14ac:dyDescent="0.3">
      <c r="B205" s="3">
        <v>10654</v>
      </c>
      <c r="C205" s="4">
        <v>44912</v>
      </c>
      <c r="D205" t="s">
        <v>17</v>
      </c>
      <c r="E205" s="3">
        <v>4.99</v>
      </c>
      <c r="F205" s="5">
        <v>200.40080160320639</v>
      </c>
      <c r="G205" s="3" t="s">
        <v>10</v>
      </c>
      <c r="H205" s="3" t="s">
        <v>11</v>
      </c>
      <c r="I205" s="6" t="s">
        <v>35</v>
      </c>
      <c r="J205" t="s">
        <v>20</v>
      </c>
    </row>
    <row r="206" spans="2:10" x14ac:dyDescent="0.3">
      <c r="B206" s="3">
        <v>10655</v>
      </c>
      <c r="C206" s="4">
        <v>44913</v>
      </c>
      <c r="D206" t="s">
        <v>21</v>
      </c>
      <c r="E206" s="3">
        <v>12.99</v>
      </c>
      <c r="F206" s="5">
        <v>600.46189376443419</v>
      </c>
      <c r="G206" s="3" t="s">
        <v>10</v>
      </c>
      <c r="H206" s="3" t="s">
        <v>11</v>
      </c>
      <c r="I206" s="6" t="s">
        <v>35</v>
      </c>
      <c r="J206" t="s">
        <v>20</v>
      </c>
    </row>
    <row r="207" spans="2:10" x14ac:dyDescent="0.3">
      <c r="B207" s="3">
        <v>10656</v>
      </c>
      <c r="C207" s="4">
        <v>44913</v>
      </c>
      <c r="D207" t="s">
        <v>25</v>
      </c>
      <c r="E207" s="3">
        <v>9.9499999999999993</v>
      </c>
      <c r="F207" s="5">
        <v>221.10552763819098</v>
      </c>
      <c r="G207" s="3" t="s">
        <v>10</v>
      </c>
      <c r="H207" s="3" t="s">
        <v>11</v>
      </c>
      <c r="I207" s="6" t="s">
        <v>35</v>
      </c>
      <c r="J207" t="s">
        <v>20</v>
      </c>
    </row>
    <row r="208" spans="2:10" x14ac:dyDescent="0.3">
      <c r="B208" s="3">
        <v>10657</v>
      </c>
      <c r="C208" s="4">
        <v>44913</v>
      </c>
      <c r="D208" t="s">
        <v>9</v>
      </c>
      <c r="E208" s="3">
        <v>3.49</v>
      </c>
      <c r="F208" s="5">
        <v>687.67908309455584</v>
      </c>
      <c r="G208" s="3" t="s">
        <v>10</v>
      </c>
      <c r="H208" s="3" t="s">
        <v>11</v>
      </c>
      <c r="I208" s="6" t="s">
        <v>35</v>
      </c>
      <c r="J208" t="s">
        <v>20</v>
      </c>
    </row>
    <row r="209" spans="2:10" x14ac:dyDescent="0.3">
      <c r="B209" s="3">
        <v>10658</v>
      </c>
      <c r="C209" s="4">
        <v>44913</v>
      </c>
      <c r="D209" t="s">
        <v>14</v>
      </c>
      <c r="E209" s="3">
        <v>2.95</v>
      </c>
      <c r="F209" s="5">
        <v>745.7627118644067</v>
      </c>
      <c r="G209" s="3" t="s">
        <v>10</v>
      </c>
      <c r="H209" s="3" t="s">
        <v>37</v>
      </c>
      <c r="I209" s="6" t="s">
        <v>35</v>
      </c>
      <c r="J209" t="s">
        <v>20</v>
      </c>
    </row>
    <row r="210" spans="2:10" x14ac:dyDescent="0.3">
      <c r="B210" s="3">
        <v>10659</v>
      </c>
      <c r="C210" s="4">
        <v>44913</v>
      </c>
      <c r="D210" t="s">
        <v>17</v>
      </c>
      <c r="E210" s="3">
        <v>4.99</v>
      </c>
      <c r="F210" s="5">
        <v>200.40080160320639</v>
      </c>
      <c r="G210" s="3" t="s">
        <v>10</v>
      </c>
      <c r="H210" s="3" t="s">
        <v>37</v>
      </c>
      <c r="I210" s="6" t="s">
        <v>35</v>
      </c>
      <c r="J210" t="s">
        <v>20</v>
      </c>
    </row>
    <row r="211" spans="2:10" x14ac:dyDescent="0.3">
      <c r="B211" s="3">
        <v>10660</v>
      </c>
      <c r="C211" s="4">
        <v>44914</v>
      </c>
      <c r="D211" t="s">
        <v>21</v>
      </c>
      <c r="E211" s="3">
        <v>12.99</v>
      </c>
      <c r="F211" s="5">
        <v>631.25481139337955</v>
      </c>
      <c r="G211" s="3" t="s">
        <v>18</v>
      </c>
      <c r="H211" s="3" t="s">
        <v>37</v>
      </c>
      <c r="I211" s="6" t="s">
        <v>35</v>
      </c>
      <c r="J211" t="s">
        <v>20</v>
      </c>
    </row>
    <row r="212" spans="2:10" x14ac:dyDescent="0.3">
      <c r="B212" s="3">
        <v>10661</v>
      </c>
      <c r="C212" s="4">
        <v>44914</v>
      </c>
      <c r="D212" t="s">
        <v>25</v>
      </c>
      <c r="E212" s="3">
        <v>9.9499999999999993</v>
      </c>
      <c r="F212" s="5">
        <v>221.10552763819098</v>
      </c>
      <c r="G212" s="3" t="s">
        <v>18</v>
      </c>
      <c r="H212" s="3" t="s">
        <v>37</v>
      </c>
      <c r="I212" s="6" t="s">
        <v>35</v>
      </c>
      <c r="J212" t="s">
        <v>20</v>
      </c>
    </row>
    <row r="213" spans="2:10" x14ac:dyDescent="0.3">
      <c r="B213" s="3">
        <v>10662</v>
      </c>
      <c r="C213" s="4">
        <v>44914</v>
      </c>
      <c r="D213" t="s">
        <v>9</v>
      </c>
      <c r="E213" s="3">
        <v>3.49</v>
      </c>
      <c r="F213" s="5">
        <v>630.3724928366762</v>
      </c>
      <c r="G213" s="3" t="s">
        <v>18</v>
      </c>
      <c r="H213" s="3" t="s">
        <v>37</v>
      </c>
      <c r="I213" s="6" t="s">
        <v>35</v>
      </c>
      <c r="J213" t="s">
        <v>20</v>
      </c>
    </row>
    <row r="214" spans="2:10" x14ac:dyDescent="0.3">
      <c r="B214" s="3">
        <v>10663</v>
      </c>
      <c r="C214" s="4">
        <v>44914</v>
      </c>
      <c r="D214" t="s">
        <v>14</v>
      </c>
      <c r="E214" s="3">
        <v>2.95</v>
      </c>
      <c r="F214" s="5">
        <v>745.7627118644067</v>
      </c>
      <c r="G214" s="3" t="s">
        <v>18</v>
      </c>
      <c r="H214" s="3" t="s">
        <v>37</v>
      </c>
      <c r="I214" s="6" t="s">
        <v>35</v>
      </c>
      <c r="J214" t="s">
        <v>20</v>
      </c>
    </row>
    <row r="215" spans="2:10" x14ac:dyDescent="0.3">
      <c r="B215" s="3">
        <v>10664</v>
      </c>
      <c r="C215" s="4">
        <v>44914</v>
      </c>
      <c r="D215" t="s">
        <v>17</v>
      </c>
      <c r="E215" s="3">
        <v>4.99</v>
      </c>
      <c r="F215" s="5">
        <v>200.40080160320639</v>
      </c>
      <c r="G215" s="3" t="s">
        <v>18</v>
      </c>
      <c r="H215" s="3" t="s">
        <v>37</v>
      </c>
      <c r="I215" s="6" t="s">
        <v>35</v>
      </c>
      <c r="J215" t="s">
        <v>20</v>
      </c>
    </row>
    <row r="216" spans="2:10" x14ac:dyDescent="0.3">
      <c r="B216" s="3">
        <v>10665</v>
      </c>
      <c r="C216" s="4">
        <v>44915</v>
      </c>
      <c r="D216" t="s">
        <v>21</v>
      </c>
      <c r="E216" s="3">
        <v>12.99</v>
      </c>
      <c r="F216" s="5">
        <v>646.65127020785224</v>
      </c>
      <c r="G216" s="3" t="s">
        <v>18</v>
      </c>
      <c r="H216" s="3" t="s">
        <v>37</v>
      </c>
      <c r="I216" s="6" t="s">
        <v>35</v>
      </c>
      <c r="J216" t="s">
        <v>20</v>
      </c>
    </row>
    <row r="217" spans="2:10" x14ac:dyDescent="0.3">
      <c r="B217" s="3">
        <v>10666</v>
      </c>
      <c r="C217" s="4">
        <v>44915</v>
      </c>
      <c r="D217" t="s">
        <v>25</v>
      </c>
      <c r="E217" s="3">
        <v>9.9499999999999993</v>
      </c>
      <c r="F217" s="5">
        <v>221.10552763819098</v>
      </c>
      <c r="G217" s="3" t="s">
        <v>18</v>
      </c>
      <c r="H217" s="3" t="s">
        <v>37</v>
      </c>
      <c r="I217" s="6" t="s">
        <v>35</v>
      </c>
      <c r="J217" t="s">
        <v>20</v>
      </c>
    </row>
    <row r="218" spans="2:10" x14ac:dyDescent="0.3">
      <c r="B218" s="3">
        <v>10667</v>
      </c>
      <c r="C218" s="4">
        <v>44915</v>
      </c>
      <c r="D218" t="s">
        <v>9</v>
      </c>
      <c r="E218" s="3">
        <v>3.49</v>
      </c>
      <c r="F218" s="5">
        <v>630.3724928366762</v>
      </c>
      <c r="G218" s="3" t="s">
        <v>18</v>
      </c>
      <c r="H218" s="3" t="s">
        <v>37</v>
      </c>
      <c r="I218" s="6" t="s">
        <v>35</v>
      </c>
      <c r="J218" t="s">
        <v>20</v>
      </c>
    </row>
    <row r="219" spans="2:10" x14ac:dyDescent="0.3">
      <c r="B219" s="3">
        <v>10668</v>
      </c>
      <c r="C219" s="4">
        <v>44915</v>
      </c>
      <c r="D219" t="s">
        <v>14</v>
      </c>
      <c r="E219" s="3">
        <v>2.95</v>
      </c>
      <c r="F219" s="5">
        <v>745.7627118644067</v>
      </c>
      <c r="G219" s="3" t="s">
        <v>18</v>
      </c>
      <c r="H219" s="3" t="s">
        <v>37</v>
      </c>
      <c r="I219" s="6" t="s">
        <v>35</v>
      </c>
      <c r="J219" t="s">
        <v>20</v>
      </c>
    </row>
    <row r="220" spans="2:10" x14ac:dyDescent="0.3">
      <c r="B220" s="3">
        <v>10669</v>
      </c>
      <c r="C220" s="4">
        <v>44915</v>
      </c>
      <c r="D220" t="s">
        <v>17</v>
      </c>
      <c r="E220" s="3">
        <v>4.99</v>
      </c>
      <c r="F220" s="5">
        <v>200.40080160320639</v>
      </c>
      <c r="G220" s="3" t="s">
        <v>18</v>
      </c>
      <c r="H220" s="3" t="s">
        <v>37</v>
      </c>
      <c r="I220" s="6" t="s">
        <v>35</v>
      </c>
      <c r="J220" t="s">
        <v>20</v>
      </c>
    </row>
    <row r="221" spans="2:10" x14ac:dyDescent="0.3">
      <c r="B221" s="3">
        <v>10670</v>
      </c>
      <c r="C221" s="4">
        <v>44916</v>
      </c>
      <c r="D221" t="s">
        <v>21</v>
      </c>
      <c r="E221" s="3">
        <v>12.99</v>
      </c>
      <c r="F221" s="5">
        <v>677.44418783679748</v>
      </c>
      <c r="G221" s="3" t="s">
        <v>18</v>
      </c>
      <c r="H221" s="3" t="s">
        <v>37</v>
      </c>
      <c r="I221" s="6" t="s">
        <v>35</v>
      </c>
      <c r="J221" t="s">
        <v>20</v>
      </c>
    </row>
    <row r="222" spans="2:10" x14ac:dyDescent="0.3">
      <c r="B222" s="3">
        <v>10671</v>
      </c>
      <c r="C222" s="4">
        <v>44916</v>
      </c>
      <c r="D222" t="s">
        <v>25</v>
      </c>
      <c r="E222" s="3">
        <v>9.9499999999999993</v>
      </c>
      <c r="F222" s="5">
        <v>221.10552763819098</v>
      </c>
      <c r="G222" s="3" t="s">
        <v>18</v>
      </c>
      <c r="H222" s="3" t="s">
        <v>37</v>
      </c>
      <c r="I222" s="6" t="s">
        <v>35</v>
      </c>
      <c r="J222" t="s">
        <v>20</v>
      </c>
    </row>
    <row r="223" spans="2:10" x14ac:dyDescent="0.3">
      <c r="B223" s="3">
        <v>10672</v>
      </c>
      <c r="C223" s="4">
        <v>44916</v>
      </c>
      <c r="D223" t="s">
        <v>9</v>
      </c>
      <c r="E223" s="3">
        <v>3.49</v>
      </c>
      <c r="F223" s="5">
        <v>630.3724928366762</v>
      </c>
      <c r="G223" s="3" t="s">
        <v>18</v>
      </c>
      <c r="H223" s="3" t="s">
        <v>37</v>
      </c>
      <c r="I223" s="6" t="s">
        <v>35</v>
      </c>
      <c r="J223" t="s">
        <v>20</v>
      </c>
    </row>
    <row r="224" spans="2:10" x14ac:dyDescent="0.3">
      <c r="B224" s="3">
        <v>10673</v>
      </c>
      <c r="C224" s="4">
        <v>44916</v>
      </c>
      <c r="D224" t="s">
        <v>14</v>
      </c>
      <c r="E224" s="3">
        <v>2.95</v>
      </c>
      <c r="F224" s="5">
        <v>745.7627118644067</v>
      </c>
      <c r="G224" s="3" t="s">
        <v>18</v>
      </c>
      <c r="H224" s="3" t="s">
        <v>37</v>
      </c>
      <c r="I224" s="6" t="s">
        <v>35</v>
      </c>
      <c r="J224" t="s">
        <v>20</v>
      </c>
    </row>
    <row r="225" spans="2:10" x14ac:dyDescent="0.3">
      <c r="B225" s="3">
        <v>10674</v>
      </c>
      <c r="C225" s="4">
        <v>44916</v>
      </c>
      <c r="D225" t="s">
        <v>17</v>
      </c>
      <c r="E225" s="3">
        <v>4.99</v>
      </c>
      <c r="F225" s="5">
        <v>200.40080160320639</v>
      </c>
      <c r="G225" s="3" t="s">
        <v>18</v>
      </c>
      <c r="H225" s="3" t="s">
        <v>37</v>
      </c>
      <c r="I225" s="6" t="s">
        <v>35</v>
      </c>
      <c r="J225" t="s">
        <v>20</v>
      </c>
    </row>
    <row r="226" spans="2:10" x14ac:dyDescent="0.3">
      <c r="B226" s="3">
        <v>10675</v>
      </c>
      <c r="C226" s="4">
        <v>44917</v>
      </c>
      <c r="D226" t="s">
        <v>21</v>
      </c>
      <c r="E226" s="3">
        <v>12.99</v>
      </c>
      <c r="F226" s="5">
        <v>677.44418783679748</v>
      </c>
      <c r="G226" s="3" t="s">
        <v>18</v>
      </c>
      <c r="H226" s="3" t="s">
        <v>37</v>
      </c>
      <c r="I226" s="6" t="s">
        <v>35</v>
      </c>
      <c r="J226" t="s">
        <v>20</v>
      </c>
    </row>
    <row r="227" spans="2:10" x14ac:dyDescent="0.3">
      <c r="B227" s="3">
        <v>10676</v>
      </c>
      <c r="C227" s="4">
        <v>44917</v>
      </c>
      <c r="D227" t="s">
        <v>25</v>
      </c>
      <c r="E227" s="3">
        <v>9.9499999999999993</v>
      </c>
      <c r="F227" s="5">
        <v>241.2060301507538</v>
      </c>
      <c r="G227" s="3" t="s">
        <v>18</v>
      </c>
      <c r="H227" s="3" t="s">
        <v>37</v>
      </c>
      <c r="I227" s="6" t="s">
        <v>35</v>
      </c>
      <c r="J227" t="s">
        <v>20</v>
      </c>
    </row>
    <row r="228" spans="2:10" x14ac:dyDescent="0.3">
      <c r="B228" s="3">
        <v>10677</v>
      </c>
      <c r="C228" s="4">
        <v>44917</v>
      </c>
      <c r="D228" t="s">
        <v>9</v>
      </c>
      <c r="E228" s="3">
        <v>3.49</v>
      </c>
      <c r="F228" s="5">
        <v>630.3724928366762</v>
      </c>
      <c r="G228" s="3" t="s">
        <v>18</v>
      </c>
      <c r="H228" s="3" t="s">
        <v>37</v>
      </c>
      <c r="I228" s="6" t="s">
        <v>35</v>
      </c>
      <c r="J228" t="s">
        <v>20</v>
      </c>
    </row>
    <row r="229" spans="2:10" x14ac:dyDescent="0.3">
      <c r="B229" s="3">
        <v>10678</v>
      </c>
      <c r="C229" s="4">
        <v>44917</v>
      </c>
      <c r="D229" t="s">
        <v>14</v>
      </c>
      <c r="E229" s="3">
        <v>2.95</v>
      </c>
      <c r="F229" s="5">
        <v>745.7627118644067</v>
      </c>
      <c r="G229" s="3" t="s">
        <v>18</v>
      </c>
      <c r="H229" s="3" t="s">
        <v>37</v>
      </c>
      <c r="I229" s="6" t="s">
        <v>35</v>
      </c>
      <c r="J229" t="s">
        <v>20</v>
      </c>
    </row>
    <row r="230" spans="2:10" x14ac:dyDescent="0.3">
      <c r="B230" s="3">
        <v>10679</v>
      </c>
      <c r="C230" s="4">
        <v>44917</v>
      </c>
      <c r="D230" t="s">
        <v>17</v>
      </c>
      <c r="E230" s="3">
        <v>4.99</v>
      </c>
      <c r="F230" s="5">
        <v>200.40080160320639</v>
      </c>
      <c r="G230" s="3" t="s">
        <v>18</v>
      </c>
      <c r="H230" s="3" t="s">
        <v>37</v>
      </c>
      <c r="I230" s="6" t="s">
        <v>35</v>
      </c>
      <c r="J230" t="s">
        <v>20</v>
      </c>
    </row>
    <row r="231" spans="2:10" x14ac:dyDescent="0.3">
      <c r="B231" s="3">
        <v>10680</v>
      </c>
      <c r="C231" s="4">
        <v>44918</v>
      </c>
      <c r="D231" t="s">
        <v>21</v>
      </c>
      <c r="E231" s="3">
        <v>12.99</v>
      </c>
      <c r="F231" s="5">
        <v>646.65127020785224</v>
      </c>
      <c r="G231" s="3" t="s">
        <v>18</v>
      </c>
      <c r="H231" s="3" t="s">
        <v>37</v>
      </c>
      <c r="I231" s="6" t="s">
        <v>35</v>
      </c>
      <c r="J231" t="s">
        <v>20</v>
      </c>
    </row>
    <row r="232" spans="2:10" x14ac:dyDescent="0.3">
      <c r="B232" s="3">
        <v>10681</v>
      </c>
      <c r="C232" s="4">
        <v>44918</v>
      </c>
      <c r="D232" t="s">
        <v>25</v>
      </c>
      <c r="E232" s="3">
        <v>9.9499999999999993</v>
      </c>
      <c r="F232" s="5">
        <v>241.2060301507538</v>
      </c>
      <c r="G232" s="3" t="s">
        <v>18</v>
      </c>
      <c r="H232" s="3" t="s">
        <v>37</v>
      </c>
      <c r="I232" s="6" t="s">
        <v>35</v>
      </c>
      <c r="J232" t="s">
        <v>20</v>
      </c>
    </row>
    <row r="233" spans="2:10" x14ac:dyDescent="0.3">
      <c r="B233" s="3">
        <v>10682</v>
      </c>
      <c r="C233" s="4">
        <v>44918</v>
      </c>
      <c r="D233" t="s">
        <v>9</v>
      </c>
      <c r="E233" s="3">
        <v>3.49</v>
      </c>
      <c r="F233" s="5">
        <v>630.3724928366762</v>
      </c>
      <c r="G233" s="3" t="s">
        <v>18</v>
      </c>
      <c r="H233" s="3" t="s">
        <v>37</v>
      </c>
      <c r="I233" s="6" t="s">
        <v>35</v>
      </c>
      <c r="J233" t="s">
        <v>20</v>
      </c>
    </row>
    <row r="234" spans="2:10" x14ac:dyDescent="0.3">
      <c r="B234" s="3">
        <v>10683</v>
      </c>
      <c r="C234" s="4">
        <v>44918</v>
      </c>
      <c r="D234" t="s">
        <v>14</v>
      </c>
      <c r="E234" s="3">
        <v>2.95</v>
      </c>
      <c r="F234" s="5">
        <v>677.96610169491521</v>
      </c>
      <c r="G234" s="3" t="s">
        <v>18</v>
      </c>
      <c r="H234" s="3" t="s">
        <v>37</v>
      </c>
      <c r="I234" s="6" t="s">
        <v>35</v>
      </c>
      <c r="J234" t="s">
        <v>20</v>
      </c>
    </row>
    <row r="235" spans="2:10" x14ac:dyDescent="0.3">
      <c r="B235" s="3">
        <v>10684</v>
      </c>
      <c r="C235" s="4">
        <v>44918</v>
      </c>
      <c r="D235" t="s">
        <v>17</v>
      </c>
      <c r="E235" s="3">
        <v>4.99</v>
      </c>
      <c r="F235" s="5">
        <v>200.40080160320639</v>
      </c>
      <c r="G235" s="3" t="s">
        <v>18</v>
      </c>
      <c r="H235" s="3" t="s">
        <v>37</v>
      </c>
      <c r="I235" s="6" t="s">
        <v>35</v>
      </c>
      <c r="J235" t="s">
        <v>20</v>
      </c>
    </row>
    <row r="236" spans="2:10" x14ac:dyDescent="0.3">
      <c r="B236" s="3">
        <v>10685</v>
      </c>
      <c r="C236" s="4">
        <v>44919</v>
      </c>
      <c r="D236" t="s">
        <v>21</v>
      </c>
      <c r="E236" s="3">
        <v>12.99</v>
      </c>
      <c r="F236" s="5">
        <v>677.44418783679748</v>
      </c>
      <c r="G236" s="3" t="s">
        <v>18</v>
      </c>
      <c r="H236" s="3" t="s">
        <v>37</v>
      </c>
      <c r="I236" s="6" t="s">
        <v>35</v>
      </c>
      <c r="J236" t="s">
        <v>20</v>
      </c>
    </row>
    <row r="237" spans="2:10" x14ac:dyDescent="0.3">
      <c r="B237" s="3">
        <v>10686</v>
      </c>
      <c r="C237" s="4">
        <v>44919</v>
      </c>
      <c r="D237" t="s">
        <v>25</v>
      </c>
      <c r="E237" s="3">
        <v>9.9499999999999993</v>
      </c>
      <c r="F237" s="5">
        <v>241.2060301507538</v>
      </c>
      <c r="G237" s="3" t="s">
        <v>18</v>
      </c>
      <c r="H237" s="3" t="s">
        <v>37</v>
      </c>
      <c r="I237" s="6" t="s">
        <v>35</v>
      </c>
      <c r="J237" t="s">
        <v>20</v>
      </c>
    </row>
    <row r="238" spans="2:10" x14ac:dyDescent="0.3">
      <c r="B238" s="3">
        <v>10687</v>
      </c>
      <c r="C238" s="4">
        <v>44919</v>
      </c>
      <c r="D238" t="s">
        <v>9</v>
      </c>
      <c r="E238" s="3">
        <v>3.49</v>
      </c>
      <c r="F238" s="5">
        <v>630.3724928366762</v>
      </c>
      <c r="G238" s="3" t="s">
        <v>18</v>
      </c>
      <c r="H238" s="3" t="s">
        <v>37</v>
      </c>
      <c r="I238" t="s">
        <v>23</v>
      </c>
      <c r="J238" t="s">
        <v>24</v>
      </c>
    </row>
    <row r="239" spans="2:10" x14ac:dyDescent="0.3">
      <c r="B239" s="3">
        <v>10688</v>
      </c>
      <c r="C239" s="4">
        <v>44919</v>
      </c>
      <c r="D239" t="s">
        <v>14</v>
      </c>
      <c r="E239" s="3">
        <v>2.95</v>
      </c>
      <c r="F239" s="5">
        <v>677.96610169491521</v>
      </c>
      <c r="G239" s="3" t="s">
        <v>18</v>
      </c>
      <c r="H239" s="3" t="s">
        <v>37</v>
      </c>
      <c r="I239" t="s">
        <v>23</v>
      </c>
      <c r="J239" t="s">
        <v>24</v>
      </c>
    </row>
    <row r="240" spans="2:10" x14ac:dyDescent="0.3">
      <c r="B240" s="3">
        <v>10689</v>
      </c>
      <c r="C240" s="4">
        <v>44919</v>
      </c>
      <c r="D240" t="s">
        <v>17</v>
      </c>
      <c r="E240" s="3">
        <v>4.99</v>
      </c>
      <c r="F240" s="5">
        <v>200.40080160320639</v>
      </c>
      <c r="G240" s="3" t="s">
        <v>18</v>
      </c>
      <c r="H240" s="3" t="s">
        <v>37</v>
      </c>
      <c r="I240" t="s">
        <v>23</v>
      </c>
      <c r="J240" t="s">
        <v>24</v>
      </c>
    </row>
    <row r="241" spans="2:10" x14ac:dyDescent="0.3">
      <c r="B241" s="3">
        <v>10690</v>
      </c>
      <c r="C241" s="4">
        <v>44920</v>
      </c>
      <c r="D241" t="s">
        <v>21</v>
      </c>
      <c r="E241" s="3">
        <v>12.99</v>
      </c>
      <c r="F241" s="5">
        <v>677.44418783679748</v>
      </c>
      <c r="G241" s="3" t="s">
        <v>18</v>
      </c>
      <c r="H241" s="3" t="s">
        <v>37</v>
      </c>
      <c r="I241" t="s">
        <v>23</v>
      </c>
      <c r="J241" t="s">
        <v>24</v>
      </c>
    </row>
    <row r="242" spans="2:10" x14ac:dyDescent="0.3">
      <c r="B242" s="3">
        <v>10691</v>
      </c>
      <c r="C242" s="4">
        <v>44920</v>
      </c>
      <c r="D242" t="s">
        <v>25</v>
      </c>
      <c r="E242" s="3">
        <v>9.9499999999999993</v>
      </c>
      <c r="F242" s="5">
        <v>261.3065326633166</v>
      </c>
      <c r="G242" s="3" t="s">
        <v>18</v>
      </c>
      <c r="H242" s="3" t="s">
        <v>37</v>
      </c>
      <c r="I242" t="s">
        <v>23</v>
      </c>
      <c r="J242" t="s">
        <v>24</v>
      </c>
    </row>
    <row r="243" spans="2:10" x14ac:dyDescent="0.3">
      <c r="B243" s="3">
        <v>10692</v>
      </c>
      <c r="C243" s="4">
        <v>44920</v>
      </c>
      <c r="D243" t="s">
        <v>9</v>
      </c>
      <c r="E243" s="3">
        <v>3.49</v>
      </c>
      <c r="F243" s="5">
        <v>630.3724928366762</v>
      </c>
      <c r="G243" s="3" t="s">
        <v>18</v>
      </c>
      <c r="H243" s="3" t="s">
        <v>37</v>
      </c>
      <c r="I243" t="s">
        <v>23</v>
      </c>
      <c r="J243" t="s">
        <v>24</v>
      </c>
    </row>
    <row r="244" spans="2:10" x14ac:dyDescent="0.3">
      <c r="B244" s="3">
        <v>10693</v>
      </c>
      <c r="C244" s="4">
        <v>44920</v>
      </c>
      <c r="D244" t="s">
        <v>14</v>
      </c>
      <c r="E244" s="3">
        <v>2.95</v>
      </c>
      <c r="F244" s="5">
        <v>677.96610169491521</v>
      </c>
      <c r="G244" s="3" t="s">
        <v>18</v>
      </c>
      <c r="H244" s="3" t="s">
        <v>37</v>
      </c>
      <c r="I244" t="s">
        <v>23</v>
      </c>
      <c r="J244" t="s">
        <v>24</v>
      </c>
    </row>
    <row r="245" spans="2:10" x14ac:dyDescent="0.3">
      <c r="B245" s="3">
        <v>10694</v>
      </c>
      <c r="C245" s="4">
        <v>44920</v>
      </c>
      <c r="D245" t="s">
        <v>17</v>
      </c>
      <c r="E245" s="3">
        <v>4.99</v>
      </c>
      <c r="F245" s="5">
        <v>200.40080160320639</v>
      </c>
      <c r="G245" s="3" t="s">
        <v>18</v>
      </c>
      <c r="H245" s="3" t="s">
        <v>37</v>
      </c>
      <c r="I245" t="s">
        <v>23</v>
      </c>
      <c r="J245" t="s">
        <v>24</v>
      </c>
    </row>
    <row r="246" spans="2:10" x14ac:dyDescent="0.3">
      <c r="B246" s="3">
        <v>10695</v>
      </c>
      <c r="C246" s="4">
        <v>44921</v>
      </c>
      <c r="D246" t="s">
        <v>21</v>
      </c>
      <c r="E246" s="3">
        <v>12.99</v>
      </c>
      <c r="F246" s="5">
        <v>692.84064665127016</v>
      </c>
      <c r="G246" s="3" t="s">
        <v>18</v>
      </c>
      <c r="H246" s="3" t="s">
        <v>37</v>
      </c>
      <c r="I246" t="s">
        <v>23</v>
      </c>
      <c r="J246" t="s">
        <v>24</v>
      </c>
    </row>
    <row r="247" spans="2:10" x14ac:dyDescent="0.3">
      <c r="B247" s="3">
        <v>10696</v>
      </c>
      <c r="C247" s="4">
        <v>44921</v>
      </c>
      <c r="D247" t="s">
        <v>25</v>
      </c>
      <c r="E247" s="3">
        <v>9.9499999999999993</v>
      </c>
      <c r="F247" s="5">
        <v>281.4070351758794</v>
      </c>
      <c r="G247" s="3" t="s">
        <v>18</v>
      </c>
      <c r="H247" s="3" t="s">
        <v>37</v>
      </c>
      <c r="I247" t="s">
        <v>23</v>
      </c>
      <c r="J247" t="s">
        <v>24</v>
      </c>
    </row>
    <row r="248" spans="2:10" x14ac:dyDescent="0.3">
      <c r="B248" s="3">
        <v>10697</v>
      </c>
      <c r="C248" s="4">
        <v>44921</v>
      </c>
      <c r="D248" t="s">
        <v>9</v>
      </c>
      <c r="E248" s="3">
        <v>3.49</v>
      </c>
      <c r="F248" s="5">
        <v>630.3724928366762</v>
      </c>
      <c r="G248" s="3" t="s">
        <v>18</v>
      </c>
      <c r="H248" s="3" t="s">
        <v>37</v>
      </c>
      <c r="I248" t="s">
        <v>23</v>
      </c>
      <c r="J248" t="s">
        <v>24</v>
      </c>
    </row>
    <row r="249" spans="2:10" x14ac:dyDescent="0.3">
      <c r="B249" s="3">
        <v>10698</v>
      </c>
      <c r="C249" s="4">
        <v>44921</v>
      </c>
      <c r="D249" t="s">
        <v>14</v>
      </c>
      <c r="E249" s="3">
        <v>2.95</v>
      </c>
      <c r="F249" s="5">
        <v>677.96610169491521</v>
      </c>
      <c r="G249" s="3" t="s">
        <v>18</v>
      </c>
      <c r="H249" s="3" t="s">
        <v>37</v>
      </c>
      <c r="I249" t="s">
        <v>23</v>
      </c>
      <c r="J249" t="s">
        <v>24</v>
      </c>
    </row>
    <row r="250" spans="2:10" x14ac:dyDescent="0.3">
      <c r="B250" s="3">
        <v>10699</v>
      </c>
      <c r="C250" s="4">
        <v>44921</v>
      </c>
      <c r="D250" t="s">
        <v>17</v>
      </c>
      <c r="E250" s="3">
        <v>4.99</v>
      </c>
      <c r="F250" s="5">
        <v>200.40080160320639</v>
      </c>
      <c r="G250" s="3" t="s">
        <v>18</v>
      </c>
      <c r="H250" s="3" t="s">
        <v>37</v>
      </c>
      <c r="I250" t="s">
        <v>23</v>
      </c>
      <c r="J250" t="s">
        <v>24</v>
      </c>
    </row>
    <row r="251" spans="2:10" x14ac:dyDescent="0.3">
      <c r="B251" s="3">
        <v>10700</v>
      </c>
      <c r="C251" s="4">
        <v>44922</v>
      </c>
      <c r="D251" t="s">
        <v>21</v>
      </c>
      <c r="E251" s="3">
        <v>12.99</v>
      </c>
      <c r="F251" s="5">
        <v>692.84064665127016</v>
      </c>
      <c r="G251" s="3" t="s">
        <v>18</v>
      </c>
      <c r="H251" s="3" t="s">
        <v>37</v>
      </c>
      <c r="I251" t="s">
        <v>23</v>
      </c>
      <c r="J251" t="s">
        <v>24</v>
      </c>
    </row>
    <row r="252" spans="2:10" x14ac:dyDescent="0.3">
      <c r="B252" s="3">
        <v>10701</v>
      </c>
      <c r="C252" s="4">
        <v>44922</v>
      </c>
      <c r="D252" t="s">
        <v>25</v>
      </c>
      <c r="E252" s="3">
        <v>9.9499999999999993</v>
      </c>
      <c r="F252" s="5">
        <v>281.4070351758794</v>
      </c>
      <c r="G252" s="3" t="s">
        <v>18</v>
      </c>
      <c r="H252" s="3" t="s">
        <v>37</v>
      </c>
      <c r="I252" t="s">
        <v>23</v>
      </c>
      <c r="J252" t="s">
        <v>24</v>
      </c>
    </row>
    <row r="253" spans="2:10" x14ac:dyDescent="0.3">
      <c r="B253" s="3">
        <v>10702</v>
      </c>
      <c r="C253" s="4">
        <v>44922</v>
      </c>
      <c r="D253" t="s">
        <v>9</v>
      </c>
      <c r="E253" s="3">
        <v>3.49</v>
      </c>
      <c r="F253" s="5">
        <v>630.3724928366762</v>
      </c>
      <c r="G253" s="3" t="s">
        <v>18</v>
      </c>
      <c r="H253" s="3" t="s">
        <v>37</v>
      </c>
      <c r="I253" t="s">
        <v>23</v>
      </c>
      <c r="J253" t="s">
        <v>24</v>
      </c>
    </row>
    <row r="254" spans="2:10" x14ac:dyDescent="0.3">
      <c r="B254" s="3">
        <v>10703</v>
      </c>
      <c r="C254" s="4">
        <v>44922</v>
      </c>
      <c r="D254" t="s">
        <v>14</v>
      </c>
      <c r="E254" s="3">
        <v>2.95</v>
      </c>
      <c r="F254" s="5">
        <v>677.96610169491521</v>
      </c>
      <c r="G254" s="3" t="s">
        <v>18</v>
      </c>
      <c r="H254" s="3" t="s">
        <v>11</v>
      </c>
      <c r="I254" t="s">
        <v>23</v>
      </c>
      <c r="J254" t="s">
        <v>24</v>
      </c>
    </row>
    <row r="255" spans="2:10" x14ac:dyDescent="0.3">
      <c r="B255" s="3">
        <v>10704</v>
      </c>
      <c r="C255" s="4">
        <v>44922</v>
      </c>
      <c r="D255" t="s">
        <v>17</v>
      </c>
      <c r="E255" s="3">
        <v>4.99</v>
      </c>
      <c r="F255" s="5">
        <v>200.40080160320639</v>
      </c>
      <c r="G255" s="3" t="s">
        <v>36</v>
      </c>
      <c r="H255" s="3" t="s">
        <v>11</v>
      </c>
      <c r="I255" t="s">
        <v>23</v>
      </c>
      <c r="J255" t="s">
        <v>24</v>
      </c>
    </row>
    <row r="256" spans="2:10" x14ac:dyDescent="0.3">
      <c r="B256" s="3">
        <v>10705</v>
      </c>
      <c r="C256" s="4">
        <v>44923</v>
      </c>
      <c r="D256" t="s">
        <v>21</v>
      </c>
      <c r="E256" s="3">
        <v>12.99</v>
      </c>
      <c r="F256" s="5">
        <v>723.63356428021552</v>
      </c>
      <c r="G256" s="3" t="s">
        <v>36</v>
      </c>
      <c r="H256" s="3" t="s">
        <v>11</v>
      </c>
      <c r="I256" t="s">
        <v>23</v>
      </c>
      <c r="J256" t="s">
        <v>24</v>
      </c>
    </row>
    <row r="257" spans="2:10" x14ac:dyDescent="0.3">
      <c r="B257" s="3">
        <v>10706</v>
      </c>
      <c r="C257" s="4">
        <v>44923</v>
      </c>
      <c r="D257" t="s">
        <v>25</v>
      </c>
      <c r="E257" s="3">
        <v>9.9499999999999993</v>
      </c>
      <c r="F257" s="5">
        <v>301.50753768844226</v>
      </c>
      <c r="G257" s="3" t="s">
        <v>36</v>
      </c>
      <c r="H257" s="3" t="s">
        <v>11</v>
      </c>
      <c r="I257" t="s">
        <v>23</v>
      </c>
      <c r="J257" t="s">
        <v>24</v>
      </c>
    </row>
    <row r="258" spans="2:10" x14ac:dyDescent="0.3">
      <c r="B258" s="3">
        <v>10707</v>
      </c>
      <c r="C258" s="4">
        <v>44923</v>
      </c>
      <c r="D258" t="s">
        <v>9</v>
      </c>
      <c r="E258" s="3">
        <v>3.49</v>
      </c>
      <c r="F258" s="5">
        <v>630.3724928366762</v>
      </c>
      <c r="G258" s="3" t="s">
        <v>36</v>
      </c>
      <c r="H258" s="3" t="s">
        <v>11</v>
      </c>
      <c r="I258" t="s">
        <v>23</v>
      </c>
      <c r="J258" t="s">
        <v>24</v>
      </c>
    </row>
    <row r="259" spans="2:10" x14ac:dyDescent="0.3">
      <c r="B259" s="3">
        <v>10708</v>
      </c>
      <c r="C259" s="4">
        <v>44923</v>
      </c>
      <c r="D259" t="s">
        <v>14</v>
      </c>
      <c r="E259" s="3">
        <v>2.95</v>
      </c>
      <c r="F259" s="5">
        <v>677.96610169491521</v>
      </c>
      <c r="G259" s="3" t="s">
        <v>36</v>
      </c>
      <c r="H259" s="3" t="s">
        <v>11</v>
      </c>
      <c r="I259" t="s">
        <v>23</v>
      </c>
      <c r="J259" t="s">
        <v>24</v>
      </c>
    </row>
    <row r="260" spans="2:10" x14ac:dyDescent="0.3">
      <c r="B260" s="3">
        <v>10709</v>
      </c>
      <c r="C260" s="4">
        <v>44923</v>
      </c>
      <c r="D260" t="s">
        <v>17</v>
      </c>
      <c r="E260" s="3">
        <v>4.99</v>
      </c>
      <c r="F260" s="5">
        <v>200.40080160320639</v>
      </c>
      <c r="G260" s="3" t="s">
        <v>36</v>
      </c>
      <c r="H260" s="3" t="s">
        <v>11</v>
      </c>
      <c r="I260" t="s">
        <v>23</v>
      </c>
      <c r="J260" t="s">
        <v>24</v>
      </c>
    </row>
    <row r="261" spans="2:10" x14ac:dyDescent="0.3">
      <c r="B261" s="3">
        <v>10710</v>
      </c>
      <c r="C261" s="4">
        <v>44924</v>
      </c>
      <c r="D261" t="s">
        <v>21</v>
      </c>
      <c r="E261" s="3">
        <v>12.99</v>
      </c>
      <c r="F261" s="5">
        <v>754.42648190916088</v>
      </c>
      <c r="G261" s="3" t="s">
        <v>36</v>
      </c>
      <c r="H261" s="3" t="s">
        <v>11</v>
      </c>
      <c r="I261" t="s">
        <v>23</v>
      </c>
      <c r="J261" t="s">
        <v>24</v>
      </c>
    </row>
    <row r="262" spans="2:10" x14ac:dyDescent="0.3">
      <c r="B262" s="3">
        <v>10711</v>
      </c>
      <c r="C262" s="4">
        <v>44924</v>
      </c>
      <c r="D262" t="s">
        <v>25</v>
      </c>
      <c r="E262" s="3">
        <v>9.9499999999999993</v>
      </c>
      <c r="F262" s="5">
        <v>281.4070351758794</v>
      </c>
      <c r="G262" s="3" t="s">
        <v>36</v>
      </c>
      <c r="H262" s="3" t="s">
        <v>11</v>
      </c>
      <c r="I262" t="s">
        <v>23</v>
      </c>
      <c r="J262" t="s">
        <v>24</v>
      </c>
    </row>
    <row r="263" spans="2:10" x14ac:dyDescent="0.3">
      <c r="B263" s="3">
        <v>10712</v>
      </c>
      <c r="C263" s="4">
        <v>44924</v>
      </c>
      <c r="D263" t="s">
        <v>9</v>
      </c>
      <c r="E263" s="3">
        <v>3.49</v>
      </c>
      <c r="F263" s="5">
        <v>630.3724928366762</v>
      </c>
      <c r="G263" s="3" t="s">
        <v>36</v>
      </c>
      <c r="H263" s="3" t="s">
        <v>11</v>
      </c>
      <c r="I263" t="s">
        <v>23</v>
      </c>
      <c r="J263" t="s">
        <v>24</v>
      </c>
    </row>
    <row r="264" spans="2:10" x14ac:dyDescent="0.3">
      <c r="B264" s="3">
        <v>10713</v>
      </c>
      <c r="C264" s="4">
        <v>44924</v>
      </c>
      <c r="D264" t="s">
        <v>14</v>
      </c>
      <c r="E264" s="3">
        <v>2.95</v>
      </c>
      <c r="F264" s="5">
        <v>677.96610169491521</v>
      </c>
      <c r="G264" s="3" t="s">
        <v>36</v>
      </c>
      <c r="H264" s="3" t="s">
        <v>11</v>
      </c>
      <c r="I264" t="s">
        <v>23</v>
      </c>
      <c r="J26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75C3-646C-4D44-BD04-59EC53D01D25}">
  <dimension ref="B2:R259"/>
  <sheetViews>
    <sheetView topLeftCell="A23" workbookViewId="0">
      <selection activeCell="N2" sqref="N2"/>
    </sheetView>
  </sheetViews>
  <sheetFormatPr defaultColWidth="10.69921875" defaultRowHeight="15.6" x14ac:dyDescent="0.3"/>
  <cols>
    <col min="4" max="4" width="12.296875" customWidth="1"/>
    <col min="6" max="6" width="16.09765625" customWidth="1"/>
    <col min="7" max="7" width="17.19921875" customWidth="1"/>
    <col min="8" max="8" width="14.796875" customWidth="1"/>
    <col min="11" max="11" width="15.296875" customWidth="1"/>
  </cols>
  <sheetData>
    <row r="2" spans="2:18" x14ac:dyDescent="0.3">
      <c r="B2" s="1" t="s">
        <v>0</v>
      </c>
      <c r="C2" s="1" t="s">
        <v>1</v>
      </c>
      <c r="D2" s="1" t="s">
        <v>2</v>
      </c>
      <c r="E2" s="2" t="s">
        <v>3</v>
      </c>
      <c r="F2" s="1" t="s">
        <v>5</v>
      </c>
      <c r="G2" s="1" t="s">
        <v>6</v>
      </c>
      <c r="H2" s="1" t="s">
        <v>7</v>
      </c>
      <c r="I2" s="1" t="s">
        <v>49</v>
      </c>
      <c r="J2" s="1" t="s">
        <v>8</v>
      </c>
      <c r="K2" s="1" t="s">
        <v>50</v>
      </c>
      <c r="L2" s="1" t="s">
        <v>46</v>
      </c>
      <c r="M2" s="1"/>
    </row>
    <row r="3" spans="2:18" x14ac:dyDescent="0.3">
      <c r="B3" s="3">
        <v>10452</v>
      </c>
      <c r="C3" s="4">
        <v>44872</v>
      </c>
      <c r="D3" t="s">
        <v>9</v>
      </c>
      <c r="E3" s="3">
        <v>3.49</v>
      </c>
      <c r="F3" s="3" t="s">
        <v>10</v>
      </c>
      <c r="G3" s="3" t="s">
        <v>11</v>
      </c>
      <c r="H3" t="s">
        <v>38</v>
      </c>
      <c r="I3">
        <v>574</v>
      </c>
      <c r="J3" t="e" vm="1">
        <v>#VALUE!</v>
      </c>
      <c r="K3" t="e" cm="1" vm="2">
        <f t="array" aca="1" ref="K3" ca="1">_FV(Table2[[#This Row],[City]],"Country/region",TRUE)</f>
        <v>#VALUE!</v>
      </c>
      <c r="L3">
        <f>Table2[[#This Row],[Quantity2]]*Table2[[#This Row],[Price]]</f>
        <v>2003.2600000000002</v>
      </c>
    </row>
    <row r="4" spans="2:18" ht="16.2" thickBot="1" x14ac:dyDescent="0.35">
      <c r="B4" s="3">
        <v>10453</v>
      </c>
      <c r="C4" s="4">
        <v>44872</v>
      </c>
      <c r="D4" t="s">
        <v>14</v>
      </c>
      <c r="E4" s="3">
        <v>2.95</v>
      </c>
      <c r="F4" s="3" t="s">
        <v>10</v>
      </c>
      <c r="G4" s="3" t="s">
        <v>11</v>
      </c>
      <c r="H4" t="s">
        <v>31</v>
      </c>
      <c r="I4">
        <v>746</v>
      </c>
      <c r="J4" t="e" vm="3">
        <v>#VALUE!</v>
      </c>
      <c r="K4" t="e" cm="1" vm="4">
        <f t="array" aca="1" ref="K4" ca="1">_FV(Table2[[#This Row],[City]],"Country/region",TRUE)</f>
        <v>#VALUE!</v>
      </c>
      <c r="L4">
        <f>Table2[[#This Row],[Quantity2]]*Table2[[#This Row],[Price]]</f>
        <v>2200.7000000000003</v>
      </c>
    </row>
    <row r="5" spans="2:18" x14ac:dyDescent="0.3">
      <c r="B5" s="3">
        <v>10454</v>
      </c>
      <c r="C5" s="4">
        <v>44872</v>
      </c>
      <c r="D5" t="s">
        <v>17</v>
      </c>
      <c r="E5" s="3">
        <v>4.99</v>
      </c>
      <c r="F5" s="3" t="s">
        <v>18</v>
      </c>
      <c r="G5" s="3" t="s">
        <v>11</v>
      </c>
      <c r="H5" t="s">
        <v>35</v>
      </c>
      <c r="I5">
        <v>201</v>
      </c>
      <c r="J5" t="e" vm="5">
        <v>#VALUE!</v>
      </c>
      <c r="K5" t="e" cm="1" vm="6">
        <f t="array" aca="1" ref="K5" ca="1">_FV(Table2[[#This Row],[City]],"Country/region",TRUE)</f>
        <v>#VALUE!</v>
      </c>
      <c r="L5">
        <f>Table2[[#This Row],[Quantity2]]*Table2[[#This Row],[Price]]</f>
        <v>1002.99</v>
      </c>
      <c r="N5" s="24" t="s">
        <v>3</v>
      </c>
      <c r="O5" s="24"/>
      <c r="Q5" s="24" t="s">
        <v>4</v>
      </c>
      <c r="R5" s="24"/>
    </row>
    <row r="6" spans="2:18" x14ac:dyDescent="0.3">
      <c r="B6" s="3">
        <v>10455</v>
      </c>
      <c r="C6" s="4">
        <v>44873</v>
      </c>
      <c r="D6" t="s">
        <v>21</v>
      </c>
      <c r="E6" s="3">
        <v>12.99</v>
      </c>
      <c r="F6" s="3" t="s">
        <v>18</v>
      </c>
      <c r="G6" s="3" t="s">
        <v>22</v>
      </c>
      <c r="H6" t="s">
        <v>23</v>
      </c>
      <c r="I6">
        <v>570</v>
      </c>
      <c r="J6" t="e" vm="7">
        <v>#VALUE!</v>
      </c>
      <c r="K6" t="e" cm="1" vm="8">
        <f t="array" aca="1" ref="K6" ca="1">_FV(Table2[[#This Row],[City]],"Country/region",TRUE)</f>
        <v>#VALUE!</v>
      </c>
      <c r="L6">
        <f>Table2[[#This Row],[Quantity2]]*Table2[[#This Row],[Price]]</f>
        <v>7404.3</v>
      </c>
      <c r="N6" s="22"/>
      <c r="O6" s="22"/>
      <c r="Q6" s="22"/>
      <c r="R6" s="22"/>
    </row>
    <row r="7" spans="2:18" x14ac:dyDescent="0.3">
      <c r="B7" s="3">
        <v>10456</v>
      </c>
      <c r="C7" s="4">
        <v>44873</v>
      </c>
      <c r="D7" t="s">
        <v>25</v>
      </c>
      <c r="E7" s="3">
        <v>9.9499999999999993</v>
      </c>
      <c r="F7" s="3" t="s">
        <v>18</v>
      </c>
      <c r="G7" s="3" t="s">
        <v>22</v>
      </c>
      <c r="H7" t="s">
        <v>23</v>
      </c>
      <c r="I7">
        <v>202</v>
      </c>
      <c r="J7" t="e" vm="7">
        <v>#VALUE!</v>
      </c>
      <c r="K7" t="e" cm="1" vm="8">
        <f t="array" aca="1" ref="K7" ca="1">_FV(Table2[[#This Row],[City]],"Country/region",TRUE)</f>
        <v>#VALUE!</v>
      </c>
      <c r="L7">
        <f>Table2[[#This Row],[Quantity2]]*Table2[[#This Row],[Price]]</f>
        <v>2009.8999999999999</v>
      </c>
      <c r="N7" s="22" t="s">
        <v>51</v>
      </c>
      <c r="O7" s="22">
        <v>7.3410116731517689</v>
      </c>
      <c r="Q7" s="22" t="s">
        <v>51</v>
      </c>
      <c r="R7" s="22">
        <v>461.24124513618676</v>
      </c>
    </row>
    <row r="8" spans="2:18" x14ac:dyDescent="0.3">
      <c r="B8" s="3">
        <v>10457</v>
      </c>
      <c r="C8" s="4">
        <v>44873</v>
      </c>
      <c r="D8" t="s">
        <v>9</v>
      </c>
      <c r="E8" s="3">
        <v>3.49</v>
      </c>
      <c r="F8" s="3" t="s">
        <v>18</v>
      </c>
      <c r="G8" s="3" t="s">
        <v>22</v>
      </c>
      <c r="H8" t="s">
        <v>28</v>
      </c>
      <c r="I8">
        <v>574</v>
      </c>
      <c r="J8" t="e" vm="9">
        <v>#VALUE!</v>
      </c>
      <c r="K8" t="e" cm="1" vm="10">
        <f t="array" aca="1" ref="K8" ca="1">_FV(Table2[[#This Row],[City]],"Country/region",TRUE)</f>
        <v>#VALUE!</v>
      </c>
      <c r="L8">
        <f>Table2[[#This Row],[Quantity2]]*Table2[[#This Row],[Price]]</f>
        <v>2003.2600000000002</v>
      </c>
      <c r="N8" s="22" t="s">
        <v>52</v>
      </c>
      <c r="O8" s="22">
        <v>0.30396506095791431</v>
      </c>
      <c r="Q8" s="22" t="s">
        <v>52</v>
      </c>
      <c r="R8" s="22">
        <v>13.380974475434584</v>
      </c>
    </row>
    <row r="9" spans="2:18" x14ac:dyDescent="0.3">
      <c r="B9" s="3">
        <v>10459</v>
      </c>
      <c r="C9" s="4">
        <v>44873</v>
      </c>
      <c r="D9" t="s">
        <v>17</v>
      </c>
      <c r="E9" s="3">
        <v>4.99</v>
      </c>
      <c r="F9" s="3" t="s">
        <v>18</v>
      </c>
      <c r="G9" s="3" t="s">
        <v>22</v>
      </c>
      <c r="H9" t="s">
        <v>23</v>
      </c>
      <c r="I9">
        <v>201</v>
      </c>
      <c r="J9" t="e" vm="7">
        <v>#VALUE!</v>
      </c>
      <c r="K9" t="e" cm="1" vm="8">
        <f t="array" aca="1" ref="K9" ca="1">_FV(Table2[[#This Row],[City]],"Country/region",TRUE)</f>
        <v>#VALUE!</v>
      </c>
      <c r="L9">
        <f>Table2[[#This Row],[Quantity2]]*Table2[[#This Row],[Price]]</f>
        <v>1002.99</v>
      </c>
      <c r="N9" s="22" t="s">
        <v>53</v>
      </c>
      <c r="O9" s="22">
        <v>4.99</v>
      </c>
      <c r="Q9" s="22" t="s">
        <v>53</v>
      </c>
      <c r="R9" s="22">
        <v>539</v>
      </c>
    </row>
    <row r="10" spans="2:18" x14ac:dyDescent="0.3">
      <c r="B10" s="3">
        <v>10460</v>
      </c>
      <c r="C10" s="4">
        <v>44874</v>
      </c>
      <c r="D10" t="s">
        <v>21</v>
      </c>
      <c r="E10" s="3">
        <v>12.99</v>
      </c>
      <c r="F10" s="3" t="s">
        <v>18</v>
      </c>
      <c r="G10" s="3" t="s">
        <v>22</v>
      </c>
      <c r="H10" t="s">
        <v>28</v>
      </c>
      <c r="I10">
        <v>555</v>
      </c>
      <c r="J10" t="e" vm="9">
        <v>#VALUE!</v>
      </c>
      <c r="K10" t="e" cm="1" vm="10">
        <f t="array" aca="1" ref="K10" ca="1">_FV(Table2[[#This Row],[City]],"Country/region",TRUE)</f>
        <v>#VALUE!</v>
      </c>
      <c r="L10">
        <f>Table2[[#This Row],[Quantity2]]*Table2[[#This Row],[Price]]</f>
        <v>7209.45</v>
      </c>
      <c r="N10" s="22" t="s">
        <v>54</v>
      </c>
      <c r="O10" s="22">
        <v>12.99</v>
      </c>
      <c r="Q10" s="22" t="s">
        <v>54</v>
      </c>
      <c r="R10" s="22">
        <v>201</v>
      </c>
    </row>
    <row r="11" spans="2:18" x14ac:dyDescent="0.3">
      <c r="B11" s="3">
        <v>10461</v>
      </c>
      <c r="C11" s="4">
        <v>44874</v>
      </c>
      <c r="D11" t="s">
        <v>25</v>
      </c>
      <c r="E11" s="3">
        <v>9.9499999999999993</v>
      </c>
      <c r="F11" s="3" t="s">
        <v>18</v>
      </c>
      <c r="G11" s="3" t="s">
        <v>22</v>
      </c>
      <c r="H11" t="s">
        <v>28</v>
      </c>
      <c r="I11">
        <v>202</v>
      </c>
      <c r="J11" t="e" vm="9">
        <v>#VALUE!</v>
      </c>
      <c r="K11" t="e" cm="1" vm="10">
        <f t="array" aca="1" ref="K11" ca="1">_FV(Table2[[#This Row],[City]],"Country/region",TRUE)</f>
        <v>#VALUE!</v>
      </c>
      <c r="L11">
        <f>Table2[[#This Row],[Quantity2]]*Table2[[#This Row],[Price]]</f>
        <v>2009.8999999999999</v>
      </c>
      <c r="N11" s="22" t="s">
        <v>55</v>
      </c>
      <c r="O11" s="22">
        <v>4.8729306252776867</v>
      </c>
      <c r="Q11" s="22" t="s">
        <v>55</v>
      </c>
      <c r="R11" s="22">
        <v>214.5133395000031</v>
      </c>
    </row>
    <row r="12" spans="2:18" x14ac:dyDescent="0.3">
      <c r="B12" s="3">
        <v>10462</v>
      </c>
      <c r="C12" s="4">
        <v>44874</v>
      </c>
      <c r="D12" t="s">
        <v>9</v>
      </c>
      <c r="E12" s="3">
        <v>3.49</v>
      </c>
      <c r="F12" s="3" t="s">
        <v>18</v>
      </c>
      <c r="G12" s="3" t="s">
        <v>22</v>
      </c>
      <c r="H12" t="s">
        <v>28</v>
      </c>
      <c r="I12">
        <v>574</v>
      </c>
      <c r="J12" t="e" vm="9">
        <v>#VALUE!</v>
      </c>
      <c r="K12" t="e" cm="1" vm="10">
        <f t="array" aca="1" ref="K12" ca="1">_FV(Table2[[#This Row],[City]],"Country/region",TRUE)</f>
        <v>#VALUE!</v>
      </c>
      <c r="L12">
        <f>Table2[[#This Row],[Quantity2]]*Table2[[#This Row],[Price]]</f>
        <v>2003.2600000000002</v>
      </c>
      <c r="N12" s="22" t="s">
        <v>56</v>
      </c>
      <c r="O12" s="22">
        <v>23.745452878769186</v>
      </c>
      <c r="Q12" s="22" t="s">
        <v>56</v>
      </c>
      <c r="R12" s="22">
        <v>46015.97282344359</v>
      </c>
    </row>
    <row r="13" spans="2:18" x14ac:dyDescent="0.3">
      <c r="B13" s="3">
        <v>10463</v>
      </c>
      <c r="C13" s="4">
        <v>44874</v>
      </c>
      <c r="D13" t="s">
        <v>14</v>
      </c>
      <c r="E13" s="3">
        <v>2.95</v>
      </c>
      <c r="F13" s="3" t="s">
        <v>18</v>
      </c>
      <c r="G13" s="3" t="s">
        <v>22</v>
      </c>
      <c r="H13" t="s">
        <v>28</v>
      </c>
      <c r="I13">
        <v>678</v>
      </c>
      <c r="J13" t="e" vm="9">
        <v>#VALUE!</v>
      </c>
      <c r="K13" t="e" cm="1" vm="10">
        <f t="array" aca="1" ref="K13" ca="1">_FV(Table2[[#This Row],[City]],"Country/region",TRUE)</f>
        <v>#VALUE!</v>
      </c>
      <c r="L13">
        <f>Table2[[#This Row],[Quantity2]]*Table2[[#This Row],[Price]]</f>
        <v>2000.1000000000001</v>
      </c>
      <c r="N13" s="22" t="s">
        <v>57</v>
      </c>
      <c r="O13" s="22">
        <v>4.6742476071303694</v>
      </c>
      <c r="Q13" s="22" t="s">
        <v>57</v>
      </c>
      <c r="R13" s="22">
        <v>-1.7242037395630254</v>
      </c>
    </row>
    <row r="14" spans="2:18" x14ac:dyDescent="0.3">
      <c r="B14" s="3">
        <v>10464</v>
      </c>
      <c r="C14" s="4">
        <v>44874</v>
      </c>
      <c r="D14" t="s">
        <v>17</v>
      </c>
      <c r="E14" s="3">
        <v>4.99</v>
      </c>
      <c r="F14" s="3" t="s">
        <v>18</v>
      </c>
      <c r="G14" s="3" t="s">
        <v>22</v>
      </c>
      <c r="H14" t="s">
        <v>28</v>
      </c>
      <c r="I14">
        <v>201</v>
      </c>
      <c r="J14" t="e" vm="9">
        <v>#VALUE!</v>
      </c>
      <c r="K14" t="e" cm="1" vm="10">
        <f t="array" aca="1" ref="K14" ca="1">_FV(Table2[[#This Row],[City]],"Country/region",TRUE)</f>
        <v>#VALUE!</v>
      </c>
      <c r="L14">
        <f>Table2[[#This Row],[Quantity2]]*Table2[[#This Row],[Price]]</f>
        <v>1002.99</v>
      </c>
      <c r="N14" s="22" t="s">
        <v>58</v>
      </c>
      <c r="O14" s="22">
        <v>1.6233288756456574</v>
      </c>
      <c r="Q14" s="22" t="s">
        <v>58</v>
      </c>
      <c r="R14" s="22">
        <v>-0.21424989618873261</v>
      </c>
    </row>
    <row r="15" spans="2:18" x14ac:dyDescent="0.3">
      <c r="B15" s="3">
        <v>10465</v>
      </c>
      <c r="C15" s="4">
        <v>44875</v>
      </c>
      <c r="D15" t="s">
        <v>21</v>
      </c>
      <c r="E15" s="3">
        <v>12.99</v>
      </c>
      <c r="F15" s="3" t="s">
        <v>18</v>
      </c>
      <c r="G15" s="3" t="s">
        <v>22</v>
      </c>
      <c r="H15" t="s">
        <v>31</v>
      </c>
      <c r="I15">
        <v>555</v>
      </c>
      <c r="J15" t="e" vm="3">
        <v>#VALUE!</v>
      </c>
      <c r="K15" t="e" cm="1" vm="4">
        <f t="array" aca="1" ref="K15" ca="1">_FV(Table2[[#This Row],[City]],"Country/region",TRUE)</f>
        <v>#VALUE!</v>
      </c>
      <c r="L15">
        <f>Table2[[#This Row],[Quantity2]]*Table2[[#This Row],[Price]]</f>
        <v>7209.45</v>
      </c>
      <c r="N15" s="22" t="s">
        <v>59</v>
      </c>
      <c r="O15" s="22">
        <v>30.27</v>
      </c>
      <c r="Q15" s="22" t="s">
        <v>59</v>
      </c>
      <c r="R15" s="22">
        <v>554</v>
      </c>
    </row>
    <row r="16" spans="2:18" x14ac:dyDescent="0.3">
      <c r="B16" s="3">
        <v>10466</v>
      </c>
      <c r="C16" s="4">
        <v>44875</v>
      </c>
      <c r="D16" t="s">
        <v>25</v>
      </c>
      <c r="E16" s="3">
        <v>9.9499999999999993</v>
      </c>
      <c r="F16" s="3" t="s">
        <v>18</v>
      </c>
      <c r="G16" s="3" t="s">
        <v>22</v>
      </c>
      <c r="H16" t="s">
        <v>31</v>
      </c>
      <c r="I16">
        <v>202</v>
      </c>
      <c r="J16" t="e" vm="3">
        <v>#VALUE!</v>
      </c>
      <c r="K16" t="e" cm="1" vm="4">
        <f t="array" aca="1" ref="K16" ca="1">_FV(Table2[[#This Row],[City]],"Country/region",TRUE)</f>
        <v>#VALUE!</v>
      </c>
      <c r="L16">
        <f>Table2[[#This Row],[Quantity2]]*Table2[[#This Row],[Price]]</f>
        <v>2009.8999999999999</v>
      </c>
      <c r="N16" s="22" t="s">
        <v>60</v>
      </c>
      <c r="O16" s="22">
        <v>2.95</v>
      </c>
      <c r="Q16" s="22" t="s">
        <v>60</v>
      </c>
      <c r="R16" s="22">
        <v>201</v>
      </c>
    </row>
    <row r="17" spans="2:18" x14ac:dyDescent="0.3">
      <c r="B17" s="3">
        <v>10467</v>
      </c>
      <c r="C17" s="4">
        <v>44875</v>
      </c>
      <c r="D17" t="s">
        <v>9</v>
      </c>
      <c r="E17" s="3">
        <v>3.49</v>
      </c>
      <c r="F17" s="3" t="s">
        <v>18</v>
      </c>
      <c r="G17" s="3" t="s">
        <v>22</v>
      </c>
      <c r="H17" t="s">
        <v>31</v>
      </c>
      <c r="I17">
        <v>574</v>
      </c>
      <c r="J17" t="e" vm="3">
        <v>#VALUE!</v>
      </c>
      <c r="K17" t="e" cm="1" vm="4">
        <f t="array" aca="1" ref="K17" ca="1">_FV(Table2[[#This Row],[City]],"Country/region",TRUE)</f>
        <v>#VALUE!</v>
      </c>
      <c r="L17">
        <f>Table2[[#This Row],[Quantity2]]*Table2[[#This Row],[Price]]</f>
        <v>2003.2600000000002</v>
      </c>
      <c r="N17" s="22" t="s">
        <v>61</v>
      </c>
      <c r="O17" s="22">
        <v>33.22</v>
      </c>
      <c r="Q17" s="22" t="s">
        <v>61</v>
      </c>
      <c r="R17" s="22">
        <v>755</v>
      </c>
    </row>
    <row r="18" spans="2:18" x14ac:dyDescent="0.3">
      <c r="B18" s="3">
        <v>10468</v>
      </c>
      <c r="C18" s="4">
        <v>44875</v>
      </c>
      <c r="D18" t="s">
        <v>14</v>
      </c>
      <c r="E18" s="3">
        <v>2.95</v>
      </c>
      <c r="F18" s="3" t="s">
        <v>18</v>
      </c>
      <c r="G18" s="3" t="s">
        <v>22</v>
      </c>
      <c r="H18" t="s">
        <v>31</v>
      </c>
      <c r="I18">
        <v>678</v>
      </c>
      <c r="J18" t="e" vm="3">
        <v>#VALUE!</v>
      </c>
      <c r="K18" t="e" cm="1" vm="4">
        <f t="array" aca="1" ref="K18" ca="1">_FV(Table2[[#This Row],[City]],"Country/region",TRUE)</f>
        <v>#VALUE!</v>
      </c>
      <c r="L18">
        <f>Table2[[#This Row],[Quantity2]]*Table2[[#This Row],[Price]]</f>
        <v>2000.1000000000001</v>
      </c>
      <c r="N18" s="22" t="s">
        <v>62</v>
      </c>
      <c r="O18" s="22">
        <v>1886.6400000000046</v>
      </c>
      <c r="Q18" s="22" t="s">
        <v>62</v>
      </c>
      <c r="R18" s="22">
        <v>118539</v>
      </c>
    </row>
    <row r="19" spans="2:18" ht="16.2" thickBot="1" x14ac:dyDescent="0.35">
      <c r="B19" s="3">
        <v>10470</v>
      </c>
      <c r="C19" s="4">
        <v>44876</v>
      </c>
      <c r="D19" t="s">
        <v>21</v>
      </c>
      <c r="E19" s="3">
        <v>12.99</v>
      </c>
      <c r="F19" s="3" t="s">
        <v>18</v>
      </c>
      <c r="G19" s="3" t="s">
        <v>22</v>
      </c>
      <c r="H19" t="s">
        <v>31</v>
      </c>
      <c r="I19">
        <v>555</v>
      </c>
      <c r="J19" t="e" vm="3">
        <v>#VALUE!</v>
      </c>
      <c r="K19" t="e" cm="1" vm="4">
        <f t="array" aca="1" ref="K19" ca="1">_FV(Table2[[#This Row],[City]],"Country/region",TRUE)</f>
        <v>#VALUE!</v>
      </c>
      <c r="L19">
        <f>Table2[[#This Row],[Quantity2]]*Table2[[#This Row],[Price]]</f>
        <v>7209.45</v>
      </c>
      <c r="N19" s="23" t="s">
        <v>63</v>
      </c>
      <c r="O19" s="23">
        <v>257</v>
      </c>
      <c r="Q19" s="23" t="s">
        <v>63</v>
      </c>
      <c r="R19" s="23">
        <v>257</v>
      </c>
    </row>
    <row r="20" spans="2:18" x14ac:dyDescent="0.3">
      <c r="B20" s="3">
        <v>10471</v>
      </c>
      <c r="C20" s="4">
        <v>44876</v>
      </c>
      <c r="D20" t="s">
        <v>25</v>
      </c>
      <c r="E20" s="3">
        <v>9.9499999999999993</v>
      </c>
      <c r="F20" s="3" t="s">
        <v>18</v>
      </c>
      <c r="G20" s="3" t="s">
        <v>22</v>
      </c>
      <c r="H20" t="s">
        <v>31</v>
      </c>
      <c r="I20">
        <v>202</v>
      </c>
      <c r="J20" t="e" vm="3">
        <v>#VALUE!</v>
      </c>
      <c r="K20" t="e" cm="1" vm="4">
        <f t="array" aca="1" ref="K20" ca="1">_FV(Table2[[#This Row],[City]],"Country/region",TRUE)</f>
        <v>#VALUE!</v>
      </c>
      <c r="L20">
        <f>Table2[[#This Row],[Quantity2]]*Table2[[#This Row],[Price]]</f>
        <v>2009.8999999999999</v>
      </c>
    </row>
    <row r="21" spans="2:18" x14ac:dyDescent="0.3">
      <c r="B21" s="3">
        <v>10472</v>
      </c>
      <c r="C21" s="4">
        <v>44876</v>
      </c>
      <c r="D21" t="s">
        <v>9</v>
      </c>
      <c r="E21" s="3">
        <v>3.49</v>
      </c>
      <c r="F21" s="3" t="s">
        <v>18</v>
      </c>
      <c r="G21" s="3" t="s">
        <v>22</v>
      </c>
      <c r="H21" t="s">
        <v>31</v>
      </c>
      <c r="I21">
        <v>631</v>
      </c>
      <c r="J21" t="e" vm="3">
        <v>#VALUE!</v>
      </c>
      <c r="K21" t="e" cm="1" vm="4">
        <f t="array" aca="1" ref="K21" ca="1">_FV(Table2[[#This Row],[City]],"Country/region",TRUE)</f>
        <v>#VALUE!</v>
      </c>
      <c r="L21">
        <f>Table2[[#This Row],[Quantity2]]*Table2[[#This Row],[Price]]</f>
        <v>2202.19</v>
      </c>
    </row>
    <row r="22" spans="2:18" x14ac:dyDescent="0.3">
      <c r="B22" s="3">
        <v>10473</v>
      </c>
      <c r="C22" s="4">
        <v>44876</v>
      </c>
      <c r="D22" t="s">
        <v>14</v>
      </c>
      <c r="E22" s="3">
        <v>2.95</v>
      </c>
      <c r="F22" s="3" t="s">
        <v>18</v>
      </c>
      <c r="G22" s="3" t="s">
        <v>22</v>
      </c>
      <c r="H22" t="s">
        <v>31</v>
      </c>
      <c r="I22">
        <v>678</v>
      </c>
      <c r="J22" t="e" vm="3">
        <v>#VALUE!</v>
      </c>
      <c r="K22" t="e" cm="1" vm="4">
        <f t="array" aca="1" ref="K22" ca="1">_FV(Table2[[#This Row],[City]],"Country/region",TRUE)</f>
        <v>#VALUE!</v>
      </c>
      <c r="L22">
        <f>Table2[[#This Row],[Quantity2]]*Table2[[#This Row],[Price]]</f>
        <v>2000.1000000000001</v>
      </c>
    </row>
    <row r="23" spans="2:18" x14ac:dyDescent="0.3">
      <c r="B23" s="3">
        <v>10474</v>
      </c>
      <c r="C23" s="4">
        <v>44876</v>
      </c>
      <c r="D23" t="s">
        <v>17</v>
      </c>
      <c r="E23" s="3">
        <v>4.99</v>
      </c>
      <c r="F23" s="3" t="s">
        <v>18</v>
      </c>
      <c r="G23" s="3" t="s">
        <v>22</v>
      </c>
      <c r="H23" t="s">
        <v>31</v>
      </c>
      <c r="I23">
        <v>201</v>
      </c>
      <c r="J23" t="e" vm="3">
        <v>#VALUE!</v>
      </c>
      <c r="K23" t="e" cm="1" vm="4">
        <f t="array" aca="1" ref="K23" ca="1">_FV(Table2[[#This Row],[City]],"Country/region",TRUE)</f>
        <v>#VALUE!</v>
      </c>
      <c r="L23">
        <f>Table2[[#This Row],[Quantity2]]*Table2[[#This Row],[Price]]</f>
        <v>1002.99</v>
      </c>
    </row>
    <row r="24" spans="2:18" x14ac:dyDescent="0.3">
      <c r="B24" s="3">
        <v>10475</v>
      </c>
      <c r="C24" s="4">
        <v>44877</v>
      </c>
      <c r="D24" t="s">
        <v>21</v>
      </c>
      <c r="E24" s="3">
        <v>12.99</v>
      </c>
      <c r="F24" s="3" t="s">
        <v>18</v>
      </c>
      <c r="G24" s="3" t="s">
        <v>22</v>
      </c>
      <c r="H24" t="s">
        <v>31</v>
      </c>
      <c r="I24">
        <v>524</v>
      </c>
      <c r="J24" t="e" vm="3">
        <v>#VALUE!</v>
      </c>
      <c r="K24" t="e" cm="1" vm="4">
        <f t="array" aca="1" ref="K24" ca="1">_FV(Table2[[#This Row],[City]],"Country/region",TRUE)</f>
        <v>#VALUE!</v>
      </c>
      <c r="L24">
        <f>Table2[[#This Row],[Quantity2]]*Table2[[#This Row],[Price]]</f>
        <v>6806.76</v>
      </c>
    </row>
    <row r="25" spans="2:18" x14ac:dyDescent="0.3">
      <c r="B25" s="3">
        <v>10476</v>
      </c>
      <c r="C25" s="4">
        <v>44877</v>
      </c>
      <c r="D25" t="s">
        <v>25</v>
      </c>
      <c r="E25" s="3">
        <v>9.9499999999999993</v>
      </c>
      <c r="F25" s="3" t="s">
        <v>18</v>
      </c>
      <c r="G25" s="3" t="s">
        <v>22</v>
      </c>
      <c r="H25" t="s">
        <v>31</v>
      </c>
      <c r="I25">
        <v>202</v>
      </c>
      <c r="J25" t="e" vm="3">
        <v>#VALUE!</v>
      </c>
      <c r="K25" t="e" cm="1" vm="4">
        <f t="array" aca="1" ref="K25" ca="1">_FV(Table2[[#This Row],[City]],"Country/region",TRUE)</f>
        <v>#VALUE!</v>
      </c>
      <c r="L25">
        <f>Table2[[#This Row],[Quantity2]]*Table2[[#This Row],[Price]]</f>
        <v>2009.8999999999999</v>
      </c>
    </row>
    <row r="26" spans="2:18" x14ac:dyDescent="0.3">
      <c r="B26" s="3">
        <v>10477</v>
      </c>
      <c r="C26" s="4">
        <v>44877</v>
      </c>
      <c r="D26" t="s">
        <v>9</v>
      </c>
      <c r="E26" s="3">
        <v>3.49</v>
      </c>
      <c r="F26" s="3" t="s">
        <v>18</v>
      </c>
      <c r="G26" s="3" t="s">
        <v>22</v>
      </c>
      <c r="H26" t="s">
        <v>31</v>
      </c>
      <c r="I26">
        <v>631</v>
      </c>
      <c r="J26" t="e" vm="3">
        <v>#VALUE!</v>
      </c>
      <c r="K26" t="e" cm="1" vm="4">
        <f t="array" aca="1" ref="K26" ca="1">_FV(Table2[[#This Row],[City]],"Country/region",TRUE)</f>
        <v>#VALUE!</v>
      </c>
      <c r="L26">
        <f>Table2[[#This Row],[Quantity2]]*Table2[[#This Row],[Price]]</f>
        <v>2202.19</v>
      </c>
    </row>
    <row r="27" spans="2:18" x14ac:dyDescent="0.3">
      <c r="B27" s="3">
        <v>10478</v>
      </c>
      <c r="C27" s="4">
        <v>44877</v>
      </c>
      <c r="D27" t="s">
        <v>14</v>
      </c>
      <c r="E27" s="3">
        <v>2.95</v>
      </c>
      <c r="F27" s="3" t="s">
        <v>18</v>
      </c>
      <c r="G27" s="3" t="s">
        <v>22</v>
      </c>
      <c r="H27" t="s">
        <v>31</v>
      </c>
      <c r="I27">
        <v>678</v>
      </c>
      <c r="J27" t="e" vm="3">
        <v>#VALUE!</v>
      </c>
      <c r="K27" t="e" cm="1" vm="4">
        <f t="array" aca="1" ref="K27" ca="1">_FV(Table2[[#This Row],[City]],"Country/region",TRUE)</f>
        <v>#VALUE!</v>
      </c>
      <c r="L27">
        <f>Table2[[#This Row],[Quantity2]]*Table2[[#This Row],[Price]]</f>
        <v>2000.1000000000001</v>
      </c>
    </row>
    <row r="28" spans="2:18" x14ac:dyDescent="0.3">
      <c r="B28" s="3">
        <v>10479</v>
      </c>
      <c r="C28" s="4">
        <v>44877</v>
      </c>
      <c r="D28" t="s">
        <v>17</v>
      </c>
      <c r="E28" s="3">
        <v>4.99</v>
      </c>
      <c r="F28" s="3" t="s">
        <v>18</v>
      </c>
      <c r="G28" s="3" t="s">
        <v>22</v>
      </c>
      <c r="H28" t="s">
        <v>31</v>
      </c>
      <c r="I28">
        <v>201</v>
      </c>
      <c r="J28" t="e" vm="3">
        <v>#VALUE!</v>
      </c>
      <c r="K28" t="e" cm="1" vm="4">
        <f t="array" aca="1" ref="K28" ca="1">_FV(Table2[[#This Row],[City]],"Country/region",TRUE)</f>
        <v>#VALUE!</v>
      </c>
      <c r="L28">
        <f>Table2[[#This Row],[Quantity2]]*Table2[[#This Row],[Price]]</f>
        <v>1002.99</v>
      </c>
    </row>
    <row r="29" spans="2:18" x14ac:dyDescent="0.3">
      <c r="B29" s="3">
        <v>10480</v>
      </c>
      <c r="C29" s="4">
        <v>44878</v>
      </c>
      <c r="D29" t="s">
        <v>21</v>
      </c>
      <c r="E29" s="3">
        <v>12.99</v>
      </c>
      <c r="F29" s="3" t="s">
        <v>18</v>
      </c>
      <c r="G29" s="3" t="s">
        <v>22</v>
      </c>
      <c r="H29" t="s">
        <v>31</v>
      </c>
      <c r="I29">
        <v>509</v>
      </c>
      <c r="J29" t="e" vm="3">
        <v>#VALUE!</v>
      </c>
      <c r="K29" t="e" cm="1" vm="4">
        <f t="array" aca="1" ref="K29" ca="1">_FV(Table2[[#This Row],[City]],"Country/region",TRUE)</f>
        <v>#VALUE!</v>
      </c>
      <c r="L29">
        <f>Table2[[#This Row],[Quantity2]]*Table2[[#This Row],[Price]]</f>
        <v>6611.91</v>
      </c>
    </row>
    <row r="30" spans="2:18" x14ac:dyDescent="0.3">
      <c r="B30" s="3">
        <v>10481</v>
      </c>
      <c r="C30" s="4">
        <v>44878</v>
      </c>
      <c r="D30" t="s">
        <v>25</v>
      </c>
      <c r="E30" s="3">
        <v>9.9499999999999993</v>
      </c>
      <c r="F30" s="3" t="s">
        <v>18</v>
      </c>
      <c r="G30" s="3" t="s">
        <v>22</v>
      </c>
      <c r="H30" t="s">
        <v>31</v>
      </c>
      <c r="I30">
        <v>202</v>
      </c>
      <c r="J30" t="e" vm="3">
        <v>#VALUE!</v>
      </c>
      <c r="K30" t="e" cm="1" vm="4">
        <f t="array" aca="1" ref="K30" ca="1">_FV(Table2[[#This Row],[City]],"Country/region",TRUE)</f>
        <v>#VALUE!</v>
      </c>
      <c r="L30">
        <f>Table2[[#This Row],[Quantity2]]*Table2[[#This Row],[Price]]</f>
        <v>2009.8999999999999</v>
      </c>
    </row>
    <row r="31" spans="2:18" x14ac:dyDescent="0.3">
      <c r="B31" s="3">
        <v>10482</v>
      </c>
      <c r="C31" s="4">
        <v>44878</v>
      </c>
      <c r="D31" t="s">
        <v>9</v>
      </c>
      <c r="E31" s="3">
        <v>25.5</v>
      </c>
      <c r="F31" s="3" t="s">
        <v>18</v>
      </c>
      <c r="G31" s="3" t="s">
        <v>22</v>
      </c>
      <c r="H31" t="s">
        <v>35</v>
      </c>
      <c r="I31">
        <v>631</v>
      </c>
      <c r="J31" t="e" vm="5">
        <v>#VALUE!</v>
      </c>
      <c r="K31" t="e" cm="1" vm="6">
        <f t="array" aca="1" ref="K31" ca="1">_FV(Table2[[#This Row],[City]],"Country/region",TRUE)</f>
        <v>#VALUE!</v>
      </c>
      <c r="L31">
        <f>Table2[[#This Row],[Quantity2]]*Table2[[#This Row],[Price]]</f>
        <v>16090.5</v>
      </c>
    </row>
    <row r="32" spans="2:18" x14ac:dyDescent="0.3">
      <c r="B32" s="3">
        <v>10483</v>
      </c>
      <c r="C32" s="4">
        <v>44878</v>
      </c>
      <c r="D32" t="s">
        <v>14</v>
      </c>
      <c r="E32" s="3">
        <v>33.22</v>
      </c>
      <c r="F32" s="3" t="s">
        <v>18</v>
      </c>
      <c r="G32" s="3" t="s">
        <v>22</v>
      </c>
      <c r="H32" t="s">
        <v>35</v>
      </c>
      <c r="I32">
        <v>678</v>
      </c>
      <c r="J32" t="e" vm="5">
        <v>#VALUE!</v>
      </c>
      <c r="K32" t="e" cm="1" vm="6">
        <f t="array" aca="1" ref="K32" ca="1">_FV(Table2[[#This Row],[City]],"Country/region",TRUE)</f>
        <v>#VALUE!</v>
      </c>
      <c r="L32">
        <f>Table2[[#This Row],[Quantity2]]*Table2[[#This Row],[Price]]</f>
        <v>22523.16</v>
      </c>
    </row>
    <row r="33" spans="2:12" x14ac:dyDescent="0.3">
      <c r="B33" s="3">
        <v>10484</v>
      </c>
      <c r="C33" s="4">
        <v>44878</v>
      </c>
      <c r="D33" t="s">
        <v>17</v>
      </c>
      <c r="E33" s="3">
        <v>21.44</v>
      </c>
      <c r="F33" s="3" t="s">
        <v>18</v>
      </c>
      <c r="G33" s="3" t="s">
        <v>22</v>
      </c>
      <c r="H33" t="s">
        <v>35</v>
      </c>
      <c r="I33">
        <v>201</v>
      </c>
      <c r="J33" t="e" vm="5">
        <v>#VALUE!</v>
      </c>
      <c r="K33" t="e" cm="1" vm="6">
        <f t="array" aca="1" ref="K33" ca="1">_FV(Table2[[#This Row],[City]],"Country/region",TRUE)</f>
        <v>#VALUE!</v>
      </c>
      <c r="L33">
        <f>Table2[[#This Row],[Quantity2]]*Table2[[#This Row],[Price]]</f>
        <v>4309.4400000000005</v>
      </c>
    </row>
    <row r="34" spans="2:12" x14ac:dyDescent="0.3">
      <c r="B34" s="3">
        <v>10485</v>
      </c>
      <c r="C34" s="4">
        <v>44879</v>
      </c>
      <c r="D34" t="s">
        <v>21</v>
      </c>
      <c r="E34" s="3">
        <v>27.99</v>
      </c>
      <c r="F34" s="3" t="s">
        <v>18</v>
      </c>
      <c r="G34" s="3" t="s">
        <v>22</v>
      </c>
      <c r="H34" t="s">
        <v>35</v>
      </c>
      <c r="I34">
        <v>524</v>
      </c>
      <c r="J34" t="e" vm="5">
        <v>#VALUE!</v>
      </c>
      <c r="K34" t="e" cm="1" vm="6">
        <f t="array" aca="1" ref="K34" ca="1">_FV(Table2[[#This Row],[City]],"Country/region",TRUE)</f>
        <v>#VALUE!</v>
      </c>
      <c r="L34">
        <f>Table2[[#This Row],[Quantity2]]*Table2[[#This Row],[Price]]</f>
        <v>14666.759999999998</v>
      </c>
    </row>
    <row r="35" spans="2:12" x14ac:dyDescent="0.3">
      <c r="B35" s="3">
        <v>10486</v>
      </c>
      <c r="C35" s="4">
        <v>44879</v>
      </c>
      <c r="D35" t="s">
        <v>25</v>
      </c>
      <c r="E35" s="3">
        <v>29.05</v>
      </c>
      <c r="F35" s="3" t="s">
        <v>18</v>
      </c>
      <c r="G35" s="3" t="s">
        <v>22</v>
      </c>
      <c r="H35" t="s">
        <v>35</v>
      </c>
      <c r="I35">
        <v>202</v>
      </c>
      <c r="J35" t="e" vm="5">
        <v>#VALUE!</v>
      </c>
      <c r="K35" t="e" cm="1" vm="6">
        <f t="array" aca="1" ref="K35" ca="1">_FV(Table2[[#This Row],[City]],"Country/region",TRUE)</f>
        <v>#VALUE!</v>
      </c>
      <c r="L35">
        <f>Table2[[#This Row],[Quantity2]]*Table2[[#This Row],[Price]]</f>
        <v>5868.1</v>
      </c>
    </row>
    <row r="36" spans="2:12" x14ac:dyDescent="0.3">
      <c r="B36" s="3">
        <v>10487</v>
      </c>
      <c r="C36" s="4">
        <v>44879</v>
      </c>
      <c r="D36" t="s">
        <v>9</v>
      </c>
      <c r="E36" s="3">
        <v>3.49</v>
      </c>
      <c r="F36" s="3" t="s">
        <v>18</v>
      </c>
      <c r="G36" s="3" t="s">
        <v>22</v>
      </c>
      <c r="H36" t="s">
        <v>35</v>
      </c>
      <c r="I36">
        <v>631</v>
      </c>
      <c r="J36" t="e" vm="5">
        <v>#VALUE!</v>
      </c>
      <c r="K36" t="e" cm="1" vm="6">
        <f t="array" aca="1" ref="K36" ca="1">_FV(Table2[[#This Row],[City]],"Country/region",TRUE)</f>
        <v>#VALUE!</v>
      </c>
      <c r="L36">
        <f>Table2[[#This Row],[Quantity2]]*Table2[[#This Row],[Price]]</f>
        <v>2202.19</v>
      </c>
    </row>
    <row r="37" spans="2:12" x14ac:dyDescent="0.3">
      <c r="B37" s="3">
        <v>10488</v>
      </c>
      <c r="C37" s="4">
        <v>44879</v>
      </c>
      <c r="D37" t="s">
        <v>14</v>
      </c>
      <c r="E37" s="3">
        <v>2.95</v>
      </c>
      <c r="F37" s="3" t="s">
        <v>18</v>
      </c>
      <c r="G37" s="3" t="s">
        <v>22</v>
      </c>
      <c r="H37" t="s">
        <v>35</v>
      </c>
      <c r="I37">
        <v>678</v>
      </c>
      <c r="J37" t="e" vm="5">
        <v>#VALUE!</v>
      </c>
      <c r="K37" t="e" cm="1" vm="6">
        <f t="array" aca="1" ref="K37" ca="1">_FV(Table2[[#This Row],[City]],"Country/region",TRUE)</f>
        <v>#VALUE!</v>
      </c>
      <c r="L37">
        <f>Table2[[#This Row],[Quantity2]]*Table2[[#This Row],[Price]]</f>
        <v>2000.1000000000001</v>
      </c>
    </row>
    <row r="38" spans="2:12" x14ac:dyDescent="0.3">
      <c r="B38" s="3">
        <v>10489</v>
      </c>
      <c r="C38" s="4">
        <v>44879</v>
      </c>
      <c r="D38" t="s">
        <v>17</v>
      </c>
      <c r="E38" s="3">
        <v>4.99</v>
      </c>
      <c r="F38" s="3" t="s">
        <v>18</v>
      </c>
      <c r="G38" s="3" t="s">
        <v>22</v>
      </c>
      <c r="H38" t="s">
        <v>31</v>
      </c>
      <c r="I38">
        <v>201</v>
      </c>
      <c r="J38" t="e" vm="3">
        <v>#VALUE!</v>
      </c>
      <c r="K38" t="e" cm="1" vm="4">
        <f t="array" aca="1" ref="K38" ca="1">_FV(Table2[[#This Row],[City]],"Country/region",TRUE)</f>
        <v>#VALUE!</v>
      </c>
      <c r="L38">
        <f>Table2[[#This Row],[Quantity2]]*Table2[[#This Row],[Price]]</f>
        <v>1002.99</v>
      </c>
    </row>
    <row r="39" spans="2:12" x14ac:dyDescent="0.3">
      <c r="B39" s="3">
        <v>10490</v>
      </c>
      <c r="C39" s="4">
        <v>44880</v>
      </c>
      <c r="D39" t="s">
        <v>21</v>
      </c>
      <c r="E39" s="3">
        <v>12.99</v>
      </c>
      <c r="F39" s="3" t="s">
        <v>18</v>
      </c>
      <c r="G39" s="3" t="s">
        <v>22</v>
      </c>
      <c r="H39" t="s">
        <v>31</v>
      </c>
      <c r="I39">
        <v>509</v>
      </c>
      <c r="J39" t="e" vm="3">
        <v>#VALUE!</v>
      </c>
      <c r="K39" t="e" cm="1" vm="4">
        <f t="array" aca="1" ref="K39" ca="1">_FV(Table2[[#This Row],[City]],"Country/region",TRUE)</f>
        <v>#VALUE!</v>
      </c>
      <c r="L39">
        <f>Table2[[#This Row],[Quantity2]]*Table2[[#This Row],[Price]]</f>
        <v>6611.91</v>
      </c>
    </row>
    <row r="40" spans="2:12" x14ac:dyDescent="0.3">
      <c r="B40" s="3">
        <v>10491</v>
      </c>
      <c r="C40" s="4">
        <v>44880</v>
      </c>
      <c r="D40" t="s">
        <v>25</v>
      </c>
      <c r="E40" s="3">
        <v>9.9499999999999993</v>
      </c>
      <c r="F40" s="3" t="s">
        <v>18</v>
      </c>
      <c r="G40" s="3" t="s">
        <v>22</v>
      </c>
      <c r="H40" t="s">
        <v>31</v>
      </c>
      <c r="I40">
        <v>202</v>
      </c>
      <c r="J40" t="e" vm="3">
        <v>#VALUE!</v>
      </c>
      <c r="K40" t="e" cm="1" vm="4">
        <f t="array" aca="1" ref="K40" ca="1">_FV(Table2[[#This Row],[City]],"Country/region",TRUE)</f>
        <v>#VALUE!</v>
      </c>
      <c r="L40">
        <f>Table2[[#This Row],[Quantity2]]*Table2[[#This Row],[Price]]</f>
        <v>2009.8999999999999</v>
      </c>
    </row>
    <row r="41" spans="2:12" x14ac:dyDescent="0.3">
      <c r="B41" s="3">
        <v>10492</v>
      </c>
      <c r="C41" s="4">
        <v>44880</v>
      </c>
      <c r="D41" t="s">
        <v>9</v>
      </c>
      <c r="E41" s="3">
        <v>3.49</v>
      </c>
      <c r="F41" s="3" t="s">
        <v>18</v>
      </c>
      <c r="G41" s="3" t="s">
        <v>22</v>
      </c>
      <c r="H41" t="s">
        <v>31</v>
      </c>
      <c r="I41">
        <v>574</v>
      </c>
      <c r="J41" t="e" vm="3">
        <v>#VALUE!</v>
      </c>
      <c r="K41" t="e" cm="1" vm="4">
        <f t="array" aca="1" ref="K41" ca="1">_FV(Table2[[#This Row],[City]],"Country/region",TRUE)</f>
        <v>#VALUE!</v>
      </c>
      <c r="L41">
        <f>Table2[[#This Row],[Quantity2]]*Table2[[#This Row],[Price]]</f>
        <v>2003.2600000000002</v>
      </c>
    </row>
    <row r="42" spans="2:12" x14ac:dyDescent="0.3">
      <c r="B42" s="3">
        <v>10493</v>
      </c>
      <c r="C42" s="4">
        <v>44880</v>
      </c>
      <c r="D42" t="s">
        <v>14</v>
      </c>
      <c r="E42" s="3">
        <v>2.95</v>
      </c>
      <c r="F42" s="3" t="s">
        <v>18</v>
      </c>
      <c r="G42" s="3" t="s">
        <v>22</v>
      </c>
      <c r="H42" t="s">
        <v>31</v>
      </c>
      <c r="I42">
        <v>678</v>
      </c>
      <c r="J42" t="e" vm="3">
        <v>#VALUE!</v>
      </c>
      <c r="K42" t="e" cm="1" vm="4">
        <f t="array" aca="1" ref="K42" ca="1">_FV(Table2[[#This Row],[City]],"Country/region",TRUE)</f>
        <v>#VALUE!</v>
      </c>
      <c r="L42">
        <f>Table2[[#This Row],[Quantity2]]*Table2[[#This Row],[Price]]</f>
        <v>2000.1000000000001</v>
      </c>
    </row>
    <row r="43" spans="2:12" x14ac:dyDescent="0.3">
      <c r="B43" s="3">
        <v>10494</v>
      </c>
      <c r="C43" s="4">
        <v>44880</v>
      </c>
      <c r="D43" t="s">
        <v>17</v>
      </c>
      <c r="E43" s="3">
        <v>4.99</v>
      </c>
      <c r="F43" s="3" t="s">
        <v>18</v>
      </c>
      <c r="G43" s="3" t="s">
        <v>22</v>
      </c>
      <c r="H43" t="s">
        <v>31</v>
      </c>
      <c r="I43">
        <v>201</v>
      </c>
      <c r="J43" t="e" vm="3">
        <v>#VALUE!</v>
      </c>
      <c r="K43" t="e" cm="1" vm="4">
        <f t="array" aca="1" ref="K43" ca="1">_FV(Table2[[#This Row],[City]],"Country/region",TRUE)</f>
        <v>#VALUE!</v>
      </c>
      <c r="L43">
        <f>Table2[[#This Row],[Quantity2]]*Table2[[#This Row],[Price]]</f>
        <v>1002.99</v>
      </c>
    </row>
    <row r="44" spans="2:12" x14ac:dyDescent="0.3">
      <c r="B44" s="3">
        <v>10495</v>
      </c>
      <c r="C44" s="4">
        <v>44881</v>
      </c>
      <c r="D44" t="s">
        <v>21</v>
      </c>
      <c r="E44" s="3">
        <v>12.99</v>
      </c>
      <c r="F44" s="3" t="s">
        <v>18</v>
      </c>
      <c r="G44" s="3" t="s">
        <v>22</v>
      </c>
      <c r="H44" t="s">
        <v>31</v>
      </c>
      <c r="I44">
        <v>509</v>
      </c>
      <c r="J44" t="e" vm="3">
        <v>#VALUE!</v>
      </c>
      <c r="K44" t="e" cm="1" vm="4">
        <f t="array" aca="1" ref="K44" ca="1">_FV(Table2[[#This Row],[City]],"Country/region",TRUE)</f>
        <v>#VALUE!</v>
      </c>
      <c r="L44">
        <f>Table2[[#This Row],[Quantity2]]*Table2[[#This Row],[Price]]</f>
        <v>6611.91</v>
      </c>
    </row>
    <row r="45" spans="2:12" x14ac:dyDescent="0.3">
      <c r="B45" s="3">
        <v>10496</v>
      </c>
      <c r="C45" s="4">
        <v>44881</v>
      </c>
      <c r="D45" t="s">
        <v>25</v>
      </c>
      <c r="E45" s="3">
        <v>9.9499999999999993</v>
      </c>
      <c r="F45" s="3" t="s">
        <v>18</v>
      </c>
      <c r="G45" s="3" t="s">
        <v>22</v>
      </c>
      <c r="H45" t="s">
        <v>31</v>
      </c>
      <c r="I45">
        <v>202</v>
      </c>
      <c r="J45" t="e" vm="3">
        <v>#VALUE!</v>
      </c>
      <c r="K45" t="e" cm="1" vm="4">
        <f t="array" aca="1" ref="K45" ca="1">_FV(Table2[[#This Row],[City]],"Country/region",TRUE)</f>
        <v>#VALUE!</v>
      </c>
      <c r="L45">
        <f>Table2[[#This Row],[Quantity2]]*Table2[[#This Row],[Price]]</f>
        <v>2009.8999999999999</v>
      </c>
    </row>
    <row r="46" spans="2:12" x14ac:dyDescent="0.3">
      <c r="B46" s="3">
        <v>10497</v>
      </c>
      <c r="C46" s="4">
        <v>44881</v>
      </c>
      <c r="D46" t="s">
        <v>9</v>
      </c>
      <c r="E46" s="3">
        <v>3.49</v>
      </c>
      <c r="F46" s="3" t="s">
        <v>18</v>
      </c>
      <c r="G46" s="3" t="s">
        <v>22</v>
      </c>
      <c r="H46" t="s">
        <v>31</v>
      </c>
      <c r="I46">
        <v>574</v>
      </c>
      <c r="J46" t="e" vm="3">
        <v>#VALUE!</v>
      </c>
      <c r="K46" t="e" cm="1" vm="4">
        <f t="array" aca="1" ref="K46" ca="1">_FV(Table2[[#This Row],[City]],"Country/region",TRUE)</f>
        <v>#VALUE!</v>
      </c>
      <c r="L46">
        <f>Table2[[#This Row],[Quantity2]]*Table2[[#This Row],[Price]]</f>
        <v>2003.2600000000002</v>
      </c>
    </row>
    <row r="47" spans="2:12" x14ac:dyDescent="0.3">
      <c r="B47" s="3">
        <v>10498</v>
      </c>
      <c r="C47" s="4">
        <v>44881</v>
      </c>
      <c r="D47" t="s">
        <v>14</v>
      </c>
      <c r="E47" s="3">
        <v>2.95</v>
      </c>
      <c r="F47" s="3" t="s">
        <v>36</v>
      </c>
      <c r="G47" s="3" t="s">
        <v>22</v>
      </c>
      <c r="H47" t="s">
        <v>31</v>
      </c>
      <c r="I47">
        <v>678</v>
      </c>
      <c r="J47" t="e" vm="3">
        <v>#VALUE!</v>
      </c>
      <c r="K47" t="e" cm="1" vm="4">
        <f t="array" aca="1" ref="K47" ca="1">_FV(Table2[[#This Row],[City]],"Country/region",TRUE)</f>
        <v>#VALUE!</v>
      </c>
      <c r="L47">
        <f>Table2[[#This Row],[Quantity2]]*Table2[[#This Row],[Price]]</f>
        <v>2000.1000000000001</v>
      </c>
    </row>
    <row r="48" spans="2:12" x14ac:dyDescent="0.3">
      <c r="B48" s="3">
        <v>10499</v>
      </c>
      <c r="C48" s="4">
        <v>44881</v>
      </c>
      <c r="D48" t="s">
        <v>17</v>
      </c>
      <c r="E48" s="3">
        <v>4.99</v>
      </c>
      <c r="F48" s="3" t="s">
        <v>36</v>
      </c>
      <c r="G48" s="3" t="s">
        <v>22</v>
      </c>
      <c r="H48" t="s">
        <v>31</v>
      </c>
      <c r="I48">
        <v>201</v>
      </c>
      <c r="J48" t="e" vm="3">
        <v>#VALUE!</v>
      </c>
      <c r="K48" t="e" cm="1" vm="4">
        <f t="array" aca="1" ref="K48" ca="1">_FV(Table2[[#This Row],[City]],"Country/region",TRUE)</f>
        <v>#VALUE!</v>
      </c>
      <c r="L48">
        <f>Table2[[#This Row],[Quantity2]]*Table2[[#This Row],[Price]]</f>
        <v>1002.99</v>
      </c>
    </row>
    <row r="49" spans="2:12" x14ac:dyDescent="0.3">
      <c r="B49" s="3">
        <v>10500</v>
      </c>
      <c r="C49" s="4">
        <v>44882</v>
      </c>
      <c r="D49" t="s">
        <v>21</v>
      </c>
      <c r="E49" s="3">
        <v>12.99</v>
      </c>
      <c r="F49" s="3" t="s">
        <v>36</v>
      </c>
      <c r="G49" s="3" t="s">
        <v>22</v>
      </c>
      <c r="H49" t="s">
        <v>31</v>
      </c>
      <c r="I49">
        <v>524</v>
      </c>
      <c r="J49" t="e" vm="3">
        <v>#VALUE!</v>
      </c>
      <c r="K49" t="e" cm="1" vm="4">
        <f t="array" aca="1" ref="K49" ca="1">_FV(Table2[[#This Row],[City]],"Country/region",TRUE)</f>
        <v>#VALUE!</v>
      </c>
      <c r="L49">
        <f>Table2[[#This Row],[Quantity2]]*Table2[[#This Row],[Price]]</f>
        <v>6806.76</v>
      </c>
    </row>
    <row r="50" spans="2:12" x14ac:dyDescent="0.3">
      <c r="B50" s="3">
        <v>10501</v>
      </c>
      <c r="C50" s="4">
        <v>44882</v>
      </c>
      <c r="D50" t="s">
        <v>25</v>
      </c>
      <c r="E50" s="3">
        <v>9.9499999999999993</v>
      </c>
      <c r="F50" s="3" t="s">
        <v>36</v>
      </c>
      <c r="G50" s="3" t="s">
        <v>22</v>
      </c>
      <c r="H50" t="s">
        <v>31</v>
      </c>
      <c r="I50">
        <v>202</v>
      </c>
      <c r="J50" t="e" vm="3">
        <v>#VALUE!</v>
      </c>
      <c r="K50" t="e" cm="1" vm="4">
        <f t="array" aca="1" ref="K50" ca="1">_FV(Table2[[#This Row],[City]],"Country/region",TRUE)</f>
        <v>#VALUE!</v>
      </c>
      <c r="L50">
        <f>Table2[[#This Row],[Quantity2]]*Table2[[#This Row],[Price]]</f>
        <v>2009.8999999999999</v>
      </c>
    </row>
    <row r="51" spans="2:12" x14ac:dyDescent="0.3">
      <c r="B51" s="3">
        <v>10502</v>
      </c>
      <c r="C51" s="4">
        <v>44882</v>
      </c>
      <c r="D51" t="s">
        <v>9</v>
      </c>
      <c r="E51" s="3">
        <v>3.49</v>
      </c>
      <c r="F51" s="3" t="s">
        <v>36</v>
      </c>
      <c r="G51" s="3" t="s">
        <v>22</v>
      </c>
      <c r="H51" t="s">
        <v>31</v>
      </c>
      <c r="I51">
        <v>631</v>
      </c>
      <c r="J51" t="e" vm="3">
        <v>#VALUE!</v>
      </c>
      <c r="K51" t="e" cm="1" vm="4">
        <f t="array" aca="1" ref="K51" ca="1">_FV(Table2[[#This Row],[City]],"Country/region",TRUE)</f>
        <v>#VALUE!</v>
      </c>
      <c r="L51">
        <f>Table2[[#This Row],[Quantity2]]*Table2[[#This Row],[Price]]</f>
        <v>2202.19</v>
      </c>
    </row>
    <row r="52" spans="2:12" x14ac:dyDescent="0.3">
      <c r="B52" s="3">
        <v>10503</v>
      </c>
      <c r="C52" s="4">
        <v>44882</v>
      </c>
      <c r="D52" t="s">
        <v>14</v>
      </c>
      <c r="E52" s="3">
        <v>2.95</v>
      </c>
      <c r="F52" s="3" t="s">
        <v>36</v>
      </c>
      <c r="G52" s="3" t="s">
        <v>22</v>
      </c>
      <c r="H52" t="s">
        <v>31</v>
      </c>
      <c r="I52">
        <v>678</v>
      </c>
      <c r="J52" t="e" vm="3">
        <v>#VALUE!</v>
      </c>
      <c r="K52" t="e" cm="1" vm="4">
        <f t="array" aca="1" ref="K52" ca="1">_FV(Table2[[#This Row],[City]],"Country/region",TRUE)</f>
        <v>#VALUE!</v>
      </c>
      <c r="L52">
        <f>Table2[[#This Row],[Quantity2]]*Table2[[#This Row],[Price]]</f>
        <v>2000.1000000000001</v>
      </c>
    </row>
    <row r="53" spans="2:12" x14ac:dyDescent="0.3">
      <c r="B53" s="3">
        <v>10504</v>
      </c>
      <c r="C53" s="4">
        <v>44882</v>
      </c>
      <c r="D53" t="s">
        <v>17</v>
      </c>
      <c r="E53" s="3">
        <v>4.99</v>
      </c>
      <c r="F53" s="3" t="s">
        <v>36</v>
      </c>
      <c r="G53" s="3" t="s">
        <v>22</v>
      </c>
      <c r="H53" t="s">
        <v>31</v>
      </c>
      <c r="I53">
        <v>201</v>
      </c>
      <c r="J53" t="e" vm="3">
        <v>#VALUE!</v>
      </c>
      <c r="K53" t="e" cm="1" vm="4">
        <f t="array" aca="1" ref="K53" ca="1">_FV(Table2[[#This Row],[City]],"Country/region",TRUE)</f>
        <v>#VALUE!</v>
      </c>
      <c r="L53">
        <f>Table2[[#This Row],[Quantity2]]*Table2[[#This Row],[Price]]</f>
        <v>1002.99</v>
      </c>
    </row>
    <row r="54" spans="2:12" x14ac:dyDescent="0.3">
      <c r="B54" s="3">
        <v>10505</v>
      </c>
      <c r="C54" s="4">
        <v>44883</v>
      </c>
      <c r="D54" t="s">
        <v>21</v>
      </c>
      <c r="E54" s="3">
        <v>12.99</v>
      </c>
      <c r="F54" s="3" t="s">
        <v>36</v>
      </c>
      <c r="G54" s="3" t="s">
        <v>22</v>
      </c>
      <c r="H54" t="s">
        <v>31</v>
      </c>
      <c r="I54">
        <v>539</v>
      </c>
      <c r="J54" t="e" vm="3">
        <v>#VALUE!</v>
      </c>
      <c r="K54" t="e" cm="1" vm="4">
        <f t="array" aca="1" ref="K54" ca="1">_FV(Table2[[#This Row],[City]],"Country/region",TRUE)</f>
        <v>#VALUE!</v>
      </c>
      <c r="L54">
        <f>Table2[[#This Row],[Quantity2]]*Table2[[#This Row],[Price]]</f>
        <v>7001.61</v>
      </c>
    </row>
    <row r="55" spans="2:12" x14ac:dyDescent="0.3">
      <c r="B55" s="3">
        <v>10506</v>
      </c>
      <c r="C55" s="4">
        <v>44883</v>
      </c>
      <c r="D55" t="s">
        <v>25</v>
      </c>
      <c r="E55" s="3">
        <v>9.9499999999999993</v>
      </c>
      <c r="F55" s="3" t="s">
        <v>36</v>
      </c>
      <c r="G55" s="3" t="s">
        <v>22</v>
      </c>
      <c r="H55" t="s">
        <v>31</v>
      </c>
      <c r="I55">
        <v>202</v>
      </c>
      <c r="J55" t="e" vm="3">
        <v>#VALUE!</v>
      </c>
      <c r="K55" t="e" cm="1" vm="4">
        <f t="array" aca="1" ref="K55" ca="1">_FV(Table2[[#This Row],[City]],"Country/region",TRUE)</f>
        <v>#VALUE!</v>
      </c>
      <c r="L55">
        <f>Table2[[#This Row],[Quantity2]]*Table2[[#This Row],[Price]]</f>
        <v>2009.8999999999999</v>
      </c>
    </row>
    <row r="56" spans="2:12" x14ac:dyDescent="0.3">
      <c r="B56" s="3">
        <v>10507</v>
      </c>
      <c r="C56" s="4">
        <v>44883</v>
      </c>
      <c r="D56" t="s">
        <v>9</v>
      </c>
      <c r="E56" s="3">
        <v>3.49</v>
      </c>
      <c r="F56" s="3" t="s">
        <v>36</v>
      </c>
      <c r="G56" s="3" t="s">
        <v>22</v>
      </c>
      <c r="H56" t="s">
        <v>31</v>
      </c>
      <c r="I56">
        <v>688</v>
      </c>
      <c r="J56" t="e" vm="3">
        <v>#VALUE!</v>
      </c>
      <c r="K56" t="e" cm="1" vm="4">
        <f t="array" aca="1" ref="K56" ca="1">_FV(Table2[[#This Row],[City]],"Country/region",TRUE)</f>
        <v>#VALUE!</v>
      </c>
      <c r="L56">
        <f>Table2[[#This Row],[Quantity2]]*Table2[[#This Row],[Price]]</f>
        <v>2401.1200000000003</v>
      </c>
    </row>
    <row r="57" spans="2:12" x14ac:dyDescent="0.3">
      <c r="B57" s="3">
        <v>10508</v>
      </c>
      <c r="C57" s="4">
        <v>44883</v>
      </c>
      <c r="D57" t="s">
        <v>14</v>
      </c>
      <c r="E57" s="3">
        <v>2.95</v>
      </c>
      <c r="F57" s="3" t="s">
        <v>36</v>
      </c>
      <c r="G57" s="3" t="s">
        <v>22</v>
      </c>
      <c r="H57" t="s">
        <v>31</v>
      </c>
      <c r="I57">
        <v>678</v>
      </c>
      <c r="J57" t="e" vm="3">
        <v>#VALUE!</v>
      </c>
      <c r="K57" t="e" cm="1" vm="4">
        <f t="array" aca="1" ref="K57" ca="1">_FV(Table2[[#This Row],[City]],"Country/region",TRUE)</f>
        <v>#VALUE!</v>
      </c>
      <c r="L57">
        <f>Table2[[#This Row],[Quantity2]]*Table2[[#This Row],[Price]]</f>
        <v>2000.1000000000001</v>
      </c>
    </row>
    <row r="58" spans="2:12" x14ac:dyDescent="0.3">
      <c r="B58" s="3">
        <v>10509</v>
      </c>
      <c r="C58" s="4">
        <v>44883</v>
      </c>
      <c r="D58" t="s">
        <v>17</v>
      </c>
      <c r="E58" s="3">
        <v>4.99</v>
      </c>
      <c r="F58" s="3" t="s">
        <v>36</v>
      </c>
      <c r="G58" s="3" t="s">
        <v>22</v>
      </c>
      <c r="H58" t="s">
        <v>31</v>
      </c>
      <c r="I58">
        <v>201</v>
      </c>
      <c r="J58" t="e" vm="3">
        <v>#VALUE!</v>
      </c>
      <c r="K58" t="e" cm="1" vm="4">
        <f t="array" aca="1" ref="K58" ca="1">_FV(Table2[[#This Row],[City]],"Country/region",TRUE)</f>
        <v>#VALUE!</v>
      </c>
      <c r="L58">
        <f>Table2[[#This Row],[Quantity2]]*Table2[[#This Row],[Price]]</f>
        <v>1002.99</v>
      </c>
    </row>
    <row r="59" spans="2:12" x14ac:dyDescent="0.3">
      <c r="B59" s="3">
        <v>10510</v>
      </c>
      <c r="C59" s="4">
        <v>44884</v>
      </c>
      <c r="D59" t="s">
        <v>21</v>
      </c>
      <c r="E59" s="3">
        <v>12.99</v>
      </c>
      <c r="F59" s="3" t="s">
        <v>36</v>
      </c>
      <c r="G59" s="3" t="s">
        <v>22</v>
      </c>
      <c r="H59" t="s">
        <v>31</v>
      </c>
      <c r="I59">
        <v>509</v>
      </c>
      <c r="J59" t="e" vm="3">
        <v>#VALUE!</v>
      </c>
      <c r="K59" t="e" cm="1" vm="4">
        <f t="array" aca="1" ref="K59" ca="1">_FV(Table2[[#This Row],[City]],"Country/region",TRUE)</f>
        <v>#VALUE!</v>
      </c>
      <c r="L59">
        <f>Table2[[#This Row],[Quantity2]]*Table2[[#This Row],[Price]]</f>
        <v>6611.91</v>
      </c>
    </row>
    <row r="60" spans="2:12" x14ac:dyDescent="0.3">
      <c r="B60" s="3">
        <v>10511</v>
      </c>
      <c r="C60" s="4">
        <v>44884</v>
      </c>
      <c r="D60" t="s">
        <v>25</v>
      </c>
      <c r="E60" s="3">
        <v>9.9499999999999993</v>
      </c>
      <c r="F60" s="3" t="s">
        <v>36</v>
      </c>
      <c r="G60" s="3" t="s">
        <v>22</v>
      </c>
      <c r="H60" t="s">
        <v>35</v>
      </c>
      <c r="I60">
        <v>202</v>
      </c>
      <c r="J60" t="e" vm="5">
        <v>#VALUE!</v>
      </c>
      <c r="K60" t="e" cm="1" vm="6">
        <f t="array" aca="1" ref="K60" ca="1">_FV(Table2[[#This Row],[City]],"Country/region",TRUE)</f>
        <v>#VALUE!</v>
      </c>
      <c r="L60">
        <f>Table2[[#This Row],[Quantity2]]*Table2[[#This Row],[Price]]</f>
        <v>2009.8999999999999</v>
      </c>
    </row>
    <row r="61" spans="2:12" x14ac:dyDescent="0.3">
      <c r="B61" s="3">
        <v>10512</v>
      </c>
      <c r="C61" s="4">
        <v>44884</v>
      </c>
      <c r="D61" t="s">
        <v>9</v>
      </c>
      <c r="E61" s="3">
        <v>3.49</v>
      </c>
      <c r="F61" s="3" t="s">
        <v>36</v>
      </c>
      <c r="G61" s="3" t="s">
        <v>22</v>
      </c>
      <c r="H61" t="s">
        <v>35</v>
      </c>
      <c r="I61">
        <v>688</v>
      </c>
      <c r="J61" t="e" vm="5">
        <v>#VALUE!</v>
      </c>
      <c r="K61" t="e" cm="1" vm="6">
        <f t="array" aca="1" ref="K61" ca="1">_FV(Table2[[#This Row],[City]],"Country/region",TRUE)</f>
        <v>#VALUE!</v>
      </c>
      <c r="L61">
        <f>Table2[[#This Row],[Quantity2]]*Table2[[#This Row],[Price]]</f>
        <v>2401.1200000000003</v>
      </c>
    </row>
    <row r="62" spans="2:12" x14ac:dyDescent="0.3">
      <c r="B62" s="3">
        <v>10513</v>
      </c>
      <c r="C62" s="4">
        <v>44884</v>
      </c>
      <c r="D62" t="s">
        <v>14</v>
      </c>
      <c r="E62" s="3">
        <v>2.95</v>
      </c>
      <c r="F62" s="3" t="s">
        <v>36</v>
      </c>
      <c r="G62" s="3" t="s">
        <v>37</v>
      </c>
      <c r="H62" t="s">
        <v>35</v>
      </c>
      <c r="I62">
        <v>678</v>
      </c>
      <c r="J62" t="e" vm="5">
        <v>#VALUE!</v>
      </c>
      <c r="K62" t="e" cm="1" vm="6">
        <f t="array" aca="1" ref="K62" ca="1">_FV(Table2[[#This Row],[City]],"Country/region",TRUE)</f>
        <v>#VALUE!</v>
      </c>
      <c r="L62">
        <f>Table2[[#This Row],[Quantity2]]*Table2[[#This Row],[Price]]</f>
        <v>2000.1000000000001</v>
      </c>
    </row>
    <row r="63" spans="2:12" x14ac:dyDescent="0.3">
      <c r="B63" s="3">
        <v>10514</v>
      </c>
      <c r="C63" s="4">
        <v>44884</v>
      </c>
      <c r="D63" t="s">
        <v>17</v>
      </c>
      <c r="E63" s="3">
        <v>4.99</v>
      </c>
      <c r="F63" s="3" t="s">
        <v>36</v>
      </c>
      <c r="G63" s="3" t="s">
        <v>37</v>
      </c>
      <c r="H63" t="s">
        <v>35</v>
      </c>
      <c r="I63">
        <v>201</v>
      </c>
      <c r="J63" t="e" vm="5">
        <v>#VALUE!</v>
      </c>
      <c r="K63" t="e" cm="1" vm="6">
        <f t="array" aca="1" ref="K63" ca="1">_FV(Table2[[#This Row],[City]],"Country/region",TRUE)</f>
        <v>#VALUE!</v>
      </c>
      <c r="L63">
        <f>Table2[[#This Row],[Quantity2]]*Table2[[#This Row],[Price]]</f>
        <v>1002.99</v>
      </c>
    </row>
    <row r="64" spans="2:12" x14ac:dyDescent="0.3">
      <c r="B64" s="3">
        <v>10515</v>
      </c>
      <c r="C64" s="4">
        <v>44885</v>
      </c>
      <c r="D64" t="s">
        <v>21</v>
      </c>
      <c r="E64" s="3">
        <v>12.99</v>
      </c>
      <c r="F64" s="3" t="s">
        <v>36</v>
      </c>
      <c r="G64" s="3" t="s">
        <v>37</v>
      </c>
      <c r="H64" t="s">
        <v>35</v>
      </c>
      <c r="I64">
        <v>478</v>
      </c>
      <c r="J64" t="e" vm="5">
        <v>#VALUE!</v>
      </c>
      <c r="K64" t="e" cm="1" vm="6">
        <f t="array" aca="1" ref="K64" ca="1">_FV(Table2[[#This Row],[City]],"Country/region",TRUE)</f>
        <v>#VALUE!</v>
      </c>
      <c r="L64">
        <f>Table2[[#This Row],[Quantity2]]*Table2[[#This Row],[Price]]</f>
        <v>6209.22</v>
      </c>
    </row>
    <row r="65" spans="2:12" x14ac:dyDescent="0.3">
      <c r="B65" s="3">
        <v>10516</v>
      </c>
      <c r="C65" s="4">
        <v>44885</v>
      </c>
      <c r="D65" t="s">
        <v>25</v>
      </c>
      <c r="E65" s="3">
        <v>9.9499999999999993</v>
      </c>
      <c r="F65" s="3" t="s">
        <v>36</v>
      </c>
      <c r="G65" s="3" t="s">
        <v>37</v>
      </c>
      <c r="H65" t="s">
        <v>35</v>
      </c>
      <c r="I65">
        <v>202</v>
      </c>
      <c r="J65" t="e" vm="5">
        <v>#VALUE!</v>
      </c>
      <c r="K65" t="e" cm="1" vm="6">
        <f t="array" aca="1" ref="K65" ca="1">_FV(Table2[[#This Row],[City]],"Country/region",TRUE)</f>
        <v>#VALUE!</v>
      </c>
      <c r="L65">
        <f>Table2[[#This Row],[Quantity2]]*Table2[[#This Row],[Price]]</f>
        <v>2009.8999999999999</v>
      </c>
    </row>
    <row r="66" spans="2:12" x14ac:dyDescent="0.3">
      <c r="B66" s="3">
        <v>10483</v>
      </c>
      <c r="C66" s="4">
        <v>44878</v>
      </c>
      <c r="D66" t="s">
        <v>14</v>
      </c>
      <c r="E66" s="3">
        <v>2.95</v>
      </c>
      <c r="F66" s="3" t="s">
        <v>18</v>
      </c>
      <c r="G66" s="3" t="s">
        <v>22</v>
      </c>
      <c r="H66" t="s">
        <v>35</v>
      </c>
      <c r="I66">
        <v>678</v>
      </c>
      <c r="J66" t="e" vm="5">
        <v>#VALUE!</v>
      </c>
      <c r="K66" t="e" cm="1" vm="6">
        <f t="array" aca="1" ref="K66" ca="1">_FV(Table2[[#This Row],[City]],"Country/region",TRUE)</f>
        <v>#VALUE!</v>
      </c>
      <c r="L66">
        <f>Table2[[#This Row],[Quantity2]]*Table2[[#This Row],[Price]]</f>
        <v>2000.1000000000001</v>
      </c>
    </row>
    <row r="67" spans="2:12" x14ac:dyDescent="0.3">
      <c r="B67" s="3">
        <v>10484</v>
      </c>
      <c r="C67" s="4">
        <v>44878</v>
      </c>
      <c r="D67" t="s">
        <v>17</v>
      </c>
      <c r="E67" s="3">
        <v>4.99</v>
      </c>
      <c r="F67" s="3" t="s">
        <v>18</v>
      </c>
      <c r="G67" s="3" t="s">
        <v>22</v>
      </c>
      <c r="H67" t="s">
        <v>35</v>
      </c>
      <c r="I67">
        <v>201</v>
      </c>
      <c r="J67" t="e" vm="5">
        <v>#VALUE!</v>
      </c>
      <c r="K67" t="e" cm="1" vm="6">
        <f t="array" aca="1" ref="K67" ca="1">_FV(Table2[[#This Row],[City]],"Country/region",TRUE)</f>
        <v>#VALUE!</v>
      </c>
      <c r="L67">
        <f>Table2[[#This Row],[Quantity2]]*Table2[[#This Row],[Price]]</f>
        <v>1002.99</v>
      </c>
    </row>
    <row r="68" spans="2:12" x14ac:dyDescent="0.3">
      <c r="B68" s="3">
        <v>10485</v>
      </c>
      <c r="C68" s="4">
        <v>44879</v>
      </c>
      <c r="D68" t="s">
        <v>21</v>
      </c>
      <c r="E68" s="3">
        <v>12.99</v>
      </c>
      <c r="F68" s="3" t="s">
        <v>18</v>
      </c>
      <c r="G68" s="3" t="s">
        <v>22</v>
      </c>
      <c r="H68" t="s">
        <v>35</v>
      </c>
      <c r="I68">
        <v>524</v>
      </c>
      <c r="J68" t="e" vm="5">
        <v>#VALUE!</v>
      </c>
      <c r="K68" t="e" cm="1" vm="6">
        <f t="array" aca="1" ref="K68" ca="1">_FV(Table2[[#This Row],[City]],"Country/region",TRUE)</f>
        <v>#VALUE!</v>
      </c>
      <c r="L68">
        <f>Table2[[#This Row],[Quantity2]]*Table2[[#This Row],[Price]]</f>
        <v>6806.76</v>
      </c>
    </row>
    <row r="69" spans="2:12" x14ac:dyDescent="0.3">
      <c r="B69" s="3">
        <v>10520</v>
      </c>
      <c r="C69" s="4">
        <v>44886</v>
      </c>
      <c r="D69" t="s">
        <v>21</v>
      </c>
      <c r="E69" s="3">
        <v>12.99</v>
      </c>
      <c r="F69" s="3" t="s">
        <v>36</v>
      </c>
      <c r="G69" s="3" t="s">
        <v>37</v>
      </c>
      <c r="H69" t="s">
        <v>28</v>
      </c>
      <c r="I69">
        <v>493</v>
      </c>
      <c r="J69" t="e" vm="9">
        <v>#VALUE!</v>
      </c>
      <c r="K69" t="e" cm="1" vm="10">
        <f t="array" aca="1" ref="K69" ca="1">_FV(Table2[[#This Row],[City]],"Country/region",TRUE)</f>
        <v>#VALUE!</v>
      </c>
      <c r="L69">
        <f>Table2[[#This Row],[Quantity2]]*Table2[[#This Row],[Price]]</f>
        <v>6404.07</v>
      </c>
    </row>
    <row r="70" spans="2:12" x14ac:dyDescent="0.3">
      <c r="B70" s="3">
        <v>10521</v>
      </c>
      <c r="C70" s="4">
        <v>44886</v>
      </c>
      <c r="D70" t="s">
        <v>25</v>
      </c>
      <c r="E70" s="3">
        <v>9.9499999999999993</v>
      </c>
      <c r="F70" s="3" t="s">
        <v>36</v>
      </c>
      <c r="G70" s="3" t="s">
        <v>37</v>
      </c>
      <c r="H70" t="s">
        <v>28</v>
      </c>
      <c r="I70">
        <v>202</v>
      </c>
      <c r="J70" t="e" vm="9">
        <v>#VALUE!</v>
      </c>
      <c r="K70" t="e" cm="1" vm="10">
        <f t="array" aca="1" ref="K70" ca="1">_FV(Table2[[#This Row],[City]],"Country/region",TRUE)</f>
        <v>#VALUE!</v>
      </c>
      <c r="L70">
        <f>Table2[[#This Row],[Quantity2]]*Table2[[#This Row],[Price]]</f>
        <v>2009.8999999999999</v>
      </c>
    </row>
    <row r="71" spans="2:12" x14ac:dyDescent="0.3">
      <c r="B71" s="3">
        <v>10522</v>
      </c>
      <c r="C71" s="4">
        <v>44886</v>
      </c>
      <c r="D71" t="s">
        <v>9</v>
      </c>
      <c r="E71" s="3">
        <v>3.49</v>
      </c>
      <c r="F71" s="3" t="s">
        <v>36</v>
      </c>
      <c r="G71" s="3" t="s">
        <v>37</v>
      </c>
      <c r="H71" t="s">
        <v>28</v>
      </c>
      <c r="I71">
        <v>688</v>
      </c>
      <c r="J71" t="e" vm="9">
        <v>#VALUE!</v>
      </c>
      <c r="K71" t="e" cm="1" vm="10">
        <f t="array" aca="1" ref="K71" ca="1">_FV(Table2[[#This Row],[City]],"Country/region",TRUE)</f>
        <v>#VALUE!</v>
      </c>
      <c r="L71">
        <f>Table2[[#This Row],[Quantity2]]*Table2[[#This Row],[Price]]</f>
        <v>2401.1200000000003</v>
      </c>
    </row>
    <row r="72" spans="2:12" x14ac:dyDescent="0.3">
      <c r="B72" s="3">
        <v>10523</v>
      </c>
      <c r="C72" s="4">
        <v>44886</v>
      </c>
      <c r="D72" t="s">
        <v>14</v>
      </c>
      <c r="E72" s="3">
        <v>2.95</v>
      </c>
      <c r="F72" s="3" t="s">
        <v>36</v>
      </c>
      <c r="G72" s="3" t="s">
        <v>37</v>
      </c>
      <c r="H72" t="s">
        <v>28</v>
      </c>
      <c r="I72">
        <v>746</v>
      </c>
      <c r="J72" t="e" vm="9">
        <v>#VALUE!</v>
      </c>
      <c r="K72" t="e" cm="1" vm="10">
        <f t="array" aca="1" ref="K72" ca="1">_FV(Table2[[#This Row],[City]],"Country/region",TRUE)</f>
        <v>#VALUE!</v>
      </c>
      <c r="L72">
        <f>Table2[[#This Row],[Quantity2]]*Table2[[#This Row],[Price]]</f>
        <v>2200.7000000000003</v>
      </c>
    </row>
    <row r="73" spans="2:12" x14ac:dyDescent="0.3">
      <c r="B73" s="3">
        <v>10524</v>
      </c>
      <c r="C73" s="4">
        <v>44886</v>
      </c>
      <c r="D73" t="s">
        <v>17</v>
      </c>
      <c r="E73" s="3">
        <v>4.99</v>
      </c>
      <c r="F73" s="3" t="s">
        <v>36</v>
      </c>
      <c r="G73" s="3" t="s">
        <v>37</v>
      </c>
      <c r="H73" t="s">
        <v>28</v>
      </c>
      <c r="I73">
        <v>201</v>
      </c>
      <c r="J73" t="e" vm="9">
        <v>#VALUE!</v>
      </c>
      <c r="K73" t="e" cm="1" vm="10">
        <f t="array" aca="1" ref="K73" ca="1">_FV(Table2[[#This Row],[City]],"Country/region",TRUE)</f>
        <v>#VALUE!</v>
      </c>
      <c r="L73">
        <f>Table2[[#This Row],[Quantity2]]*Table2[[#This Row],[Price]]</f>
        <v>1002.99</v>
      </c>
    </row>
    <row r="74" spans="2:12" x14ac:dyDescent="0.3">
      <c r="B74" s="3">
        <v>10525</v>
      </c>
      <c r="C74" s="4">
        <v>44887</v>
      </c>
      <c r="D74" t="s">
        <v>21</v>
      </c>
      <c r="E74" s="3">
        <v>12.99</v>
      </c>
      <c r="F74" s="3" t="s">
        <v>36</v>
      </c>
      <c r="G74" s="3" t="s">
        <v>37</v>
      </c>
      <c r="H74" t="s">
        <v>28</v>
      </c>
      <c r="I74">
        <v>462</v>
      </c>
      <c r="J74" t="e" vm="9">
        <v>#VALUE!</v>
      </c>
      <c r="K74" t="e" cm="1" vm="10">
        <f t="array" aca="1" ref="K74" ca="1">_FV(Table2[[#This Row],[City]],"Country/region",TRUE)</f>
        <v>#VALUE!</v>
      </c>
      <c r="L74">
        <f>Table2[[#This Row],[Quantity2]]*Table2[[#This Row],[Price]]</f>
        <v>6001.38</v>
      </c>
    </row>
    <row r="75" spans="2:12" x14ac:dyDescent="0.3">
      <c r="B75" s="3">
        <v>10526</v>
      </c>
      <c r="C75" s="4">
        <v>44887</v>
      </c>
      <c r="D75" t="s">
        <v>25</v>
      </c>
      <c r="E75" s="3">
        <v>9.9499999999999993</v>
      </c>
      <c r="F75" s="3" t="s">
        <v>36</v>
      </c>
      <c r="G75" s="3" t="s">
        <v>37</v>
      </c>
      <c r="H75" t="s">
        <v>28</v>
      </c>
      <c r="I75">
        <v>202</v>
      </c>
      <c r="J75" t="e" vm="9">
        <v>#VALUE!</v>
      </c>
      <c r="K75" t="e" cm="1" vm="10">
        <f t="array" aca="1" ref="K75" ca="1">_FV(Table2[[#This Row],[City]],"Country/region",TRUE)</f>
        <v>#VALUE!</v>
      </c>
      <c r="L75">
        <f>Table2[[#This Row],[Quantity2]]*Table2[[#This Row],[Price]]</f>
        <v>2009.8999999999999</v>
      </c>
    </row>
    <row r="76" spans="2:12" x14ac:dyDescent="0.3">
      <c r="B76" s="3">
        <v>10527</v>
      </c>
      <c r="C76" s="4">
        <v>44887</v>
      </c>
      <c r="D76" t="s">
        <v>9</v>
      </c>
      <c r="E76" s="3">
        <v>3.49</v>
      </c>
      <c r="F76" s="3" t="s">
        <v>36</v>
      </c>
      <c r="G76" s="3" t="s">
        <v>37</v>
      </c>
      <c r="H76" t="s">
        <v>28</v>
      </c>
      <c r="I76">
        <v>688</v>
      </c>
      <c r="J76" t="e" vm="9">
        <v>#VALUE!</v>
      </c>
      <c r="K76" t="e" cm="1" vm="10">
        <f t="array" aca="1" ref="K76" ca="1">_FV(Table2[[#This Row],[City]],"Country/region",TRUE)</f>
        <v>#VALUE!</v>
      </c>
      <c r="L76">
        <f>Table2[[#This Row],[Quantity2]]*Table2[[#This Row],[Price]]</f>
        <v>2401.1200000000003</v>
      </c>
    </row>
    <row r="77" spans="2:12" x14ac:dyDescent="0.3">
      <c r="B77" s="3">
        <v>10528</v>
      </c>
      <c r="C77" s="4">
        <v>44887</v>
      </c>
      <c r="D77" t="s">
        <v>14</v>
      </c>
      <c r="E77" s="3">
        <v>2.95</v>
      </c>
      <c r="F77" s="3" t="s">
        <v>36</v>
      </c>
      <c r="G77" s="3" t="s">
        <v>37</v>
      </c>
      <c r="H77" t="s">
        <v>28</v>
      </c>
      <c r="I77">
        <v>746</v>
      </c>
      <c r="J77" t="e" vm="9">
        <v>#VALUE!</v>
      </c>
      <c r="K77" t="e" cm="1" vm="10">
        <f t="array" aca="1" ref="K77" ca="1">_FV(Table2[[#This Row],[City]],"Country/region",TRUE)</f>
        <v>#VALUE!</v>
      </c>
      <c r="L77">
        <f>Table2[[#This Row],[Quantity2]]*Table2[[#This Row],[Price]]</f>
        <v>2200.7000000000003</v>
      </c>
    </row>
    <row r="78" spans="2:12" x14ac:dyDescent="0.3">
      <c r="B78" s="3">
        <v>10529</v>
      </c>
      <c r="C78" s="4">
        <v>44887</v>
      </c>
      <c r="D78" t="s">
        <v>17</v>
      </c>
      <c r="E78" s="3">
        <v>4.99</v>
      </c>
      <c r="F78" s="3" t="s">
        <v>36</v>
      </c>
      <c r="G78" s="3" t="s">
        <v>37</v>
      </c>
      <c r="H78" t="s">
        <v>28</v>
      </c>
      <c r="I78">
        <v>201</v>
      </c>
      <c r="J78" t="e" vm="9">
        <v>#VALUE!</v>
      </c>
      <c r="K78" t="e" cm="1" vm="10">
        <f t="array" aca="1" ref="K78" ca="1">_FV(Table2[[#This Row],[City]],"Country/region",TRUE)</f>
        <v>#VALUE!</v>
      </c>
      <c r="L78">
        <f>Table2[[#This Row],[Quantity2]]*Table2[[#This Row],[Price]]</f>
        <v>1002.99</v>
      </c>
    </row>
    <row r="79" spans="2:12" x14ac:dyDescent="0.3">
      <c r="B79" s="3">
        <v>10530</v>
      </c>
      <c r="C79" s="4">
        <v>44888</v>
      </c>
      <c r="D79" t="s">
        <v>21</v>
      </c>
      <c r="E79" s="3">
        <v>12.99</v>
      </c>
      <c r="F79" s="3" t="s">
        <v>36</v>
      </c>
      <c r="G79" s="3" t="s">
        <v>37</v>
      </c>
      <c r="H79" t="s">
        <v>28</v>
      </c>
      <c r="I79">
        <v>478</v>
      </c>
      <c r="J79" t="e" vm="9">
        <v>#VALUE!</v>
      </c>
      <c r="K79" t="e" cm="1" vm="10">
        <f t="array" aca="1" ref="K79" ca="1">_FV(Table2[[#This Row],[City]],"Country/region",TRUE)</f>
        <v>#VALUE!</v>
      </c>
      <c r="L79">
        <f>Table2[[#This Row],[Quantity2]]*Table2[[#This Row],[Price]]</f>
        <v>6209.22</v>
      </c>
    </row>
    <row r="80" spans="2:12" x14ac:dyDescent="0.3">
      <c r="B80" s="3">
        <v>10531</v>
      </c>
      <c r="C80" s="4">
        <v>44888</v>
      </c>
      <c r="D80" t="s">
        <v>25</v>
      </c>
      <c r="E80" s="3">
        <v>9.9499999999999993</v>
      </c>
      <c r="F80" s="3" t="s">
        <v>36</v>
      </c>
      <c r="G80" s="3" t="s">
        <v>37</v>
      </c>
      <c r="H80" t="s">
        <v>28</v>
      </c>
      <c r="I80">
        <v>202</v>
      </c>
      <c r="J80" t="e" vm="9">
        <v>#VALUE!</v>
      </c>
      <c r="K80" t="e" cm="1" vm="10">
        <f t="array" aca="1" ref="K80" ca="1">_FV(Table2[[#This Row],[City]],"Country/region",TRUE)</f>
        <v>#VALUE!</v>
      </c>
      <c r="L80">
        <f>Table2[[#This Row],[Quantity2]]*Table2[[#This Row],[Price]]</f>
        <v>2009.8999999999999</v>
      </c>
    </row>
    <row r="81" spans="2:12" x14ac:dyDescent="0.3">
      <c r="B81" s="3">
        <v>10532</v>
      </c>
      <c r="C81" s="4">
        <v>44888</v>
      </c>
      <c r="D81" t="s">
        <v>9</v>
      </c>
      <c r="E81" s="3">
        <v>3.49</v>
      </c>
      <c r="F81" s="3" t="s">
        <v>36</v>
      </c>
      <c r="G81" s="3" t="s">
        <v>37</v>
      </c>
      <c r="H81" t="s">
        <v>35</v>
      </c>
      <c r="I81">
        <v>688</v>
      </c>
      <c r="J81" t="e" vm="5">
        <v>#VALUE!</v>
      </c>
      <c r="K81" t="e" cm="1" vm="6">
        <f t="array" aca="1" ref="K81" ca="1">_FV(Table2[[#This Row],[City]],"Country/region",TRUE)</f>
        <v>#VALUE!</v>
      </c>
      <c r="L81">
        <f>Table2[[#This Row],[Quantity2]]*Table2[[#This Row],[Price]]</f>
        <v>2401.1200000000003</v>
      </c>
    </row>
    <row r="82" spans="2:12" x14ac:dyDescent="0.3">
      <c r="B82" s="3">
        <v>10533</v>
      </c>
      <c r="C82" s="4">
        <v>44888</v>
      </c>
      <c r="D82" t="s">
        <v>14</v>
      </c>
      <c r="E82" s="3">
        <v>2.95</v>
      </c>
      <c r="F82" s="3" t="s">
        <v>36</v>
      </c>
      <c r="G82" s="3" t="s">
        <v>37</v>
      </c>
      <c r="H82" t="s">
        <v>35</v>
      </c>
      <c r="I82">
        <v>746</v>
      </c>
      <c r="J82" t="e" vm="5">
        <v>#VALUE!</v>
      </c>
      <c r="K82" t="e" cm="1" vm="6">
        <f t="array" aca="1" ref="K82" ca="1">_FV(Table2[[#This Row],[City]],"Country/region",TRUE)</f>
        <v>#VALUE!</v>
      </c>
      <c r="L82">
        <f>Table2[[#This Row],[Quantity2]]*Table2[[#This Row],[Price]]</f>
        <v>2200.7000000000003</v>
      </c>
    </row>
    <row r="83" spans="2:12" x14ac:dyDescent="0.3">
      <c r="B83" s="3">
        <v>10534</v>
      </c>
      <c r="C83" s="4">
        <v>44888</v>
      </c>
      <c r="D83" t="s">
        <v>17</v>
      </c>
      <c r="E83" s="3">
        <v>4.99</v>
      </c>
      <c r="F83" s="3" t="s">
        <v>36</v>
      </c>
      <c r="G83" s="3" t="s">
        <v>37</v>
      </c>
      <c r="H83" t="s">
        <v>31</v>
      </c>
      <c r="I83">
        <v>201</v>
      </c>
      <c r="J83" t="e" vm="3">
        <v>#VALUE!</v>
      </c>
      <c r="K83" t="e" cm="1" vm="4">
        <f t="array" aca="1" ref="K83" ca="1">_FV(Table2[[#This Row],[City]],"Country/region",TRUE)</f>
        <v>#VALUE!</v>
      </c>
      <c r="L83">
        <f>Table2[[#This Row],[Quantity2]]*Table2[[#This Row],[Price]]</f>
        <v>1002.99</v>
      </c>
    </row>
    <row r="84" spans="2:12" x14ac:dyDescent="0.3">
      <c r="B84" s="3">
        <v>10535</v>
      </c>
      <c r="C84" s="4">
        <v>44889</v>
      </c>
      <c r="D84" t="s">
        <v>21</v>
      </c>
      <c r="E84" s="3">
        <v>12.99</v>
      </c>
      <c r="F84" s="3" t="s">
        <v>36</v>
      </c>
      <c r="G84" s="3" t="s">
        <v>22</v>
      </c>
      <c r="H84" t="s">
        <v>31</v>
      </c>
      <c r="I84">
        <v>478</v>
      </c>
      <c r="J84" t="e" vm="3">
        <v>#VALUE!</v>
      </c>
      <c r="K84" t="e" cm="1" vm="4">
        <f t="array" aca="1" ref="K84" ca="1">_FV(Table2[[#This Row],[City]],"Country/region",TRUE)</f>
        <v>#VALUE!</v>
      </c>
      <c r="L84">
        <f>Table2[[#This Row],[Quantity2]]*Table2[[#This Row],[Price]]</f>
        <v>6209.22</v>
      </c>
    </row>
    <row r="85" spans="2:12" x14ac:dyDescent="0.3">
      <c r="B85" s="3">
        <v>10536</v>
      </c>
      <c r="C85" s="4">
        <v>44889</v>
      </c>
      <c r="D85" t="s">
        <v>25</v>
      </c>
      <c r="E85" s="3">
        <v>9.9499999999999993</v>
      </c>
      <c r="F85" s="3" t="s">
        <v>36</v>
      </c>
      <c r="G85" s="3" t="s">
        <v>22</v>
      </c>
      <c r="H85" t="s">
        <v>31</v>
      </c>
      <c r="I85">
        <v>202</v>
      </c>
      <c r="J85" t="e" vm="3">
        <v>#VALUE!</v>
      </c>
      <c r="K85" t="e" cm="1" vm="4">
        <f t="array" aca="1" ref="K85" ca="1">_FV(Table2[[#This Row],[City]],"Country/region",TRUE)</f>
        <v>#VALUE!</v>
      </c>
      <c r="L85">
        <f>Table2[[#This Row],[Quantity2]]*Table2[[#This Row],[Price]]</f>
        <v>2009.8999999999999</v>
      </c>
    </row>
    <row r="86" spans="2:12" x14ac:dyDescent="0.3">
      <c r="B86" s="3">
        <v>10537</v>
      </c>
      <c r="C86" s="4">
        <v>44889</v>
      </c>
      <c r="D86" t="s">
        <v>9</v>
      </c>
      <c r="E86" s="3">
        <v>3.49</v>
      </c>
      <c r="F86" s="3" t="s">
        <v>36</v>
      </c>
      <c r="G86" s="3" t="s">
        <v>22</v>
      </c>
      <c r="H86" t="s">
        <v>31</v>
      </c>
      <c r="I86">
        <v>631</v>
      </c>
      <c r="J86" t="e" vm="3">
        <v>#VALUE!</v>
      </c>
      <c r="K86" t="e" cm="1" vm="4">
        <f t="array" aca="1" ref="K86" ca="1">_FV(Table2[[#This Row],[City]],"Country/region",TRUE)</f>
        <v>#VALUE!</v>
      </c>
      <c r="L86">
        <f>Table2[[#This Row],[Quantity2]]*Table2[[#This Row],[Price]]</f>
        <v>2202.19</v>
      </c>
    </row>
    <row r="87" spans="2:12" x14ac:dyDescent="0.3">
      <c r="B87" s="3">
        <v>10538</v>
      </c>
      <c r="C87" s="4">
        <v>44889</v>
      </c>
      <c r="D87" t="s">
        <v>14</v>
      </c>
      <c r="E87" s="3">
        <v>2.95</v>
      </c>
      <c r="F87" s="3" t="s">
        <v>36</v>
      </c>
      <c r="G87" s="3" t="s">
        <v>22</v>
      </c>
      <c r="H87" t="s">
        <v>31</v>
      </c>
      <c r="I87">
        <v>746</v>
      </c>
      <c r="J87" t="e" vm="3">
        <v>#VALUE!</v>
      </c>
      <c r="K87" t="e" cm="1" vm="4">
        <f t="array" aca="1" ref="K87" ca="1">_FV(Table2[[#This Row],[City]],"Country/region",TRUE)</f>
        <v>#VALUE!</v>
      </c>
      <c r="L87">
        <f>Table2[[#This Row],[Quantity2]]*Table2[[#This Row],[Price]]</f>
        <v>2200.7000000000003</v>
      </c>
    </row>
    <row r="88" spans="2:12" x14ac:dyDescent="0.3">
      <c r="B88" s="3">
        <v>10539</v>
      </c>
      <c r="C88" s="4">
        <v>44889</v>
      </c>
      <c r="D88" t="s">
        <v>17</v>
      </c>
      <c r="E88" s="3">
        <v>4.99</v>
      </c>
      <c r="F88" s="3" t="s">
        <v>36</v>
      </c>
      <c r="G88" s="3" t="s">
        <v>22</v>
      </c>
      <c r="H88" t="s">
        <v>31</v>
      </c>
      <c r="I88">
        <v>201</v>
      </c>
      <c r="J88" t="e" vm="3">
        <v>#VALUE!</v>
      </c>
      <c r="K88" t="e" cm="1" vm="4">
        <f t="array" aca="1" ref="K88" ca="1">_FV(Table2[[#This Row],[City]],"Country/region",TRUE)</f>
        <v>#VALUE!</v>
      </c>
      <c r="L88">
        <f>Table2[[#This Row],[Quantity2]]*Table2[[#This Row],[Price]]</f>
        <v>1002.99</v>
      </c>
    </row>
    <row r="89" spans="2:12" x14ac:dyDescent="0.3">
      <c r="B89" s="3">
        <v>10540</v>
      </c>
      <c r="C89" s="4">
        <v>44890</v>
      </c>
      <c r="D89" t="s">
        <v>21</v>
      </c>
      <c r="E89" s="3">
        <v>12.99</v>
      </c>
      <c r="F89" s="3" t="s">
        <v>36</v>
      </c>
      <c r="G89" s="3" t="s">
        <v>22</v>
      </c>
      <c r="H89" t="s">
        <v>31</v>
      </c>
      <c r="I89">
        <v>462</v>
      </c>
      <c r="J89" t="e" vm="3">
        <v>#VALUE!</v>
      </c>
      <c r="K89" t="e" cm="1" vm="4">
        <f t="array" aca="1" ref="K89" ca="1">_FV(Table2[[#This Row],[City]],"Country/region",TRUE)</f>
        <v>#VALUE!</v>
      </c>
      <c r="L89">
        <f>Table2[[#This Row],[Quantity2]]*Table2[[#This Row],[Price]]</f>
        <v>6001.38</v>
      </c>
    </row>
    <row r="90" spans="2:12" x14ac:dyDescent="0.3">
      <c r="B90" s="3">
        <v>10541</v>
      </c>
      <c r="C90" s="4">
        <v>44890</v>
      </c>
      <c r="D90" t="s">
        <v>25</v>
      </c>
      <c r="E90" s="3">
        <v>9.9499999999999993</v>
      </c>
      <c r="F90" s="3" t="s">
        <v>36</v>
      </c>
      <c r="G90" s="3" t="s">
        <v>22</v>
      </c>
      <c r="H90" t="s">
        <v>38</v>
      </c>
      <c r="I90">
        <v>202</v>
      </c>
      <c r="J90" t="e" vm="1">
        <v>#VALUE!</v>
      </c>
      <c r="K90" t="e" cm="1" vm="2">
        <f t="array" aca="1" ref="K90" ca="1">_FV(Table2[[#This Row],[City]],"Country/region",TRUE)</f>
        <v>#VALUE!</v>
      </c>
      <c r="L90">
        <f>Table2[[#This Row],[Quantity2]]*Table2[[#This Row],[Price]]</f>
        <v>2009.8999999999999</v>
      </c>
    </row>
    <row r="91" spans="2:12" x14ac:dyDescent="0.3">
      <c r="B91" s="3">
        <v>10542</v>
      </c>
      <c r="C91" s="4">
        <v>44890</v>
      </c>
      <c r="D91" t="s">
        <v>9</v>
      </c>
      <c r="E91" s="3">
        <v>3.49</v>
      </c>
      <c r="F91" s="3" t="s">
        <v>36</v>
      </c>
      <c r="G91" s="3" t="s">
        <v>22</v>
      </c>
      <c r="H91" t="s">
        <v>38</v>
      </c>
      <c r="I91">
        <v>631</v>
      </c>
      <c r="J91" t="e" vm="1">
        <v>#VALUE!</v>
      </c>
      <c r="K91" t="e" cm="1" vm="2">
        <f t="array" aca="1" ref="K91" ca="1">_FV(Table2[[#This Row],[City]],"Country/region",TRUE)</f>
        <v>#VALUE!</v>
      </c>
      <c r="L91">
        <f>Table2[[#This Row],[Quantity2]]*Table2[[#This Row],[Price]]</f>
        <v>2202.19</v>
      </c>
    </row>
    <row r="92" spans="2:12" x14ac:dyDescent="0.3">
      <c r="B92" s="3">
        <v>10543</v>
      </c>
      <c r="C92" s="4">
        <v>44890</v>
      </c>
      <c r="D92" t="s">
        <v>14</v>
      </c>
      <c r="E92" s="3">
        <v>2.95</v>
      </c>
      <c r="F92" s="3" t="s">
        <v>36</v>
      </c>
      <c r="G92" s="3" t="s">
        <v>22</v>
      </c>
      <c r="H92" t="s">
        <v>38</v>
      </c>
      <c r="I92">
        <v>746</v>
      </c>
      <c r="J92" t="e" vm="1">
        <v>#VALUE!</v>
      </c>
      <c r="K92" t="e" cm="1" vm="2">
        <f t="array" aca="1" ref="K92" ca="1">_FV(Table2[[#This Row],[City]],"Country/region",TRUE)</f>
        <v>#VALUE!</v>
      </c>
      <c r="L92">
        <f>Table2[[#This Row],[Quantity2]]*Table2[[#This Row],[Price]]</f>
        <v>2200.7000000000003</v>
      </c>
    </row>
    <row r="93" spans="2:12" x14ac:dyDescent="0.3">
      <c r="B93" s="3">
        <v>10544</v>
      </c>
      <c r="C93" s="4">
        <v>44890</v>
      </c>
      <c r="D93" t="s">
        <v>17</v>
      </c>
      <c r="E93" s="3">
        <v>4.99</v>
      </c>
      <c r="F93" s="3" t="s">
        <v>36</v>
      </c>
      <c r="G93" s="3" t="s">
        <v>22</v>
      </c>
      <c r="H93" t="s">
        <v>38</v>
      </c>
      <c r="I93">
        <v>201</v>
      </c>
      <c r="J93" t="e" vm="1">
        <v>#VALUE!</v>
      </c>
      <c r="K93" t="e" cm="1" vm="2">
        <f t="array" aca="1" ref="K93" ca="1">_FV(Table2[[#This Row],[City]],"Country/region",TRUE)</f>
        <v>#VALUE!</v>
      </c>
      <c r="L93">
        <f>Table2[[#This Row],[Quantity2]]*Table2[[#This Row],[Price]]</f>
        <v>1002.99</v>
      </c>
    </row>
    <row r="94" spans="2:12" x14ac:dyDescent="0.3">
      <c r="B94" s="3">
        <v>10545</v>
      </c>
      <c r="C94" s="4">
        <v>44891</v>
      </c>
      <c r="D94" t="s">
        <v>21</v>
      </c>
      <c r="E94" s="3">
        <v>12.99</v>
      </c>
      <c r="F94" s="3" t="s">
        <v>36</v>
      </c>
      <c r="G94" s="3" t="s">
        <v>22</v>
      </c>
      <c r="H94" t="s">
        <v>38</v>
      </c>
      <c r="I94">
        <v>447</v>
      </c>
      <c r="J94" t="e" vm="1">
        <v>#VALUE!</v>
      </c>
      <c r="K94" t="e" cm="1" vm="2">
        <f t="array" aca="1" ref="K94" ca="1">_FV(Table2[[#This Row],[City]],"Country/region",TRUE)</f>
        <v>#VALUE!</v>
      </c>
      <c r="L94">
        <f>Table2[[#This Row],[Quantity2]]*Table2[[#This Row],[Price]]</f>
        <v>5806.53</v>
      </c>
    </row>
    <row r="95" spans="2:12" x14ac:dyDescent="0.3">
      <c r="B95" s="3">
        <v>10546</v>
      </c>
      <c r="C95" s="4">
        <v>44891</v>
      </c>
      <c r="D95" t="s">
        <v>25</v>
      </c>
      <c r="E95" s="3">
        <v>9.9499999999999993</v>
      </c>
      <c r="F95" s="3" t="s">
        <v>36</v>
      </c>
      <c r="G95" s="3" t="s">
        <v>22</v>
      </c>
      <c r="H95" t="s">
        <v>38</v>
      </c>
      <c r="I95">
        <v>202</v>
      </c>
      <c r="J95" t="e" vm="1">
        <v>#VALUE!</v>
      </c>
      <c r="K95" t="e" cm="1" vm="2">
        <f t="array" aca="1" ref="K95" ca="1">_FV(Table2[[#This Row],[City]],"Country/region",TRUE)</f>
        <v>#VALUE!</v>
      </c>
      <c r="L95">
        <f>Table2[[#This Row],[Quantity2]]*Table2[[#This Row],[Price]]</f>
        <v>2009.8999999999999</v>
      </c>
    </row>
    <row r="96" spans="2:12" x14ac:dyDescent="0.3">
      <c r="B96" s="3">
        <v>10547</v>
      </c>
      <c r="C96" s="4">
        <v>44891</v>
      </c>
      <c r="D96" t="s">
        <v>9</v>
      </c>
      <c r="E96" s="3">
        <v>3.49</v>
      </c>
      <c r="F96" s="3" t="s">
        <v>36</v>
      </c>
      <c r="G96" s="3" t="s">
        <v>22</v>
      </c>
      <c r="H96" t="s">
        <v>38</v>
      </c>
      <c r="I96">
        <v>631</v>
      </c>
      <c r="J96" t="e" vm="1">
        <v>#VALUE!</v>
      </c>
      <c r="K96" t="e" cm="1" vm="2">
        <f t="array" aca="1" ref="K96" ca="1">_FV(Table2[[#This Row],[City]],"Country/region",TRUE)</f>
        <v>#VALUE!</v>
      </c>
      <c r="L96">
        <f>Table2[[#This Row],[Quantity2]]*Table2[[#This Row],[Price]]</f>
        <v>2202.19</v>
      </c>
    </row>
    <row r="97" spans="2:12" x14ac:dyDescent="0.3">
      <c r="B97" s="3">
        <v>10548</v>
      </c>
      <c r="C97" s="4">
        <v>44891</v>
      </c>
      <c r="D97" t="s">
        <v>14</v>
      </c>
      <c r="E97" s="3">
        <v>2.95</v>
      </c>
      <c r="F97" s="3" t="s">
        <v>36</v>
      </c>
      <c r="G97" s="3" t="s">
        <v>22</v>
      </c>
      <c r="H97" t="s">
        <v>38</v>
      </c>
      <c r="I97">
        <v>746</v>
      </c>
      <c r="J97" t="e" vm="1">
        <v>#VALUE!</v>
      </c>
      <c r="K97" t="e" cm="1" vm="2">
        <f t="array" aca="1" ref="K97" ca="1">_FV(Table2[[#This Row],[City]],"Country/region",TRUE)</f>
        <v>#VALUE!</v>
      </c>
      <c r="L97">
        <f>Table2[[#This Row],[Quantity2]]*Table2[[#This Row],[Price]]</f>
        <v>2200.7000000000003</v>
      </c>
    </row>
    <row r="98" spans="2:12" x14ac:dyDescent="0.3">
      <c r="B98" s="3">
        <v>10549</v>
      </c>
      <c r="C98" s="4">
        <v>44891</v>
      </c>
      <c r="D98" t="s">
        <v>17</v>
      </c>
      <c r="E98" s="3">
        <v>4.99</v>
      </c>
      <c r="F98" s="3" t="s">
        <v>36</v>
      </c>
      <c r="G98" s="3" t="s">
        <v>22</v>
      </c>
      <c r="H98" t="s">
        <v>38</v>
      </c>
      <c r="I98">
        <v>201</v>
      </c>
      <c r="J98" t="e" vm="1">
        <v>#VALUE!</v>
      </c>
      <c r="K98" t="e" cm="1" vm="2">
        <f t="array" aca="1" ref="K98" ca="1">_FV(Table2[[#This Row],[City]],"Country/region",TRUE)</f>
        <v>#VALUE!</v>
      </c>
      <c r="L98">
        <f>Table2[[#This Row],[Quantity2]]*Table2[[#This Row],[Price]]</f>
        <v>1002.99</v>
      </c>
    </row>
    <row r="99" spans="2:12" x14ac:dyDescent="0.3">
      <c r="B99" s="3">
        <v>10550</v>
      </c>
      <c r="C99" s="4">
        <v>44892</v>
      </c>
      <c r="D99" t="s">
        <v>21</v>
      </c>
      <c r="E99" s="3">
        <v>12.99</v>
      </c>
      <c r="F99" s="3" t="s">
        <v>36</v>
      </c>
      <c r="G99" s="3" t="s">
        <v>22</v>
      </c>
      <c r="H99" t="s">
        <v>38</v>
      </c>
      <c r="I99">
        <v>462</v>
      </c>
      <c r="J99" t="e" vm="1">
        <v>#VALUE!</v>
      </c>
      <c r="K99" t="e" cm="1" vm="2">
        <f t="array" aca="1" ref="K99" ca="1">_FV(Table2[[#This Row],[City]],"Country/region",TRUE)</f>
        <v>#VALUE!</v>
      </c>
      <c r="L99">
        <f>Table2[[#This Row],[Quantity2]]*Table2[[#This Row],[Price]]</f>
        <v>6001.38</v>
      </c>
    </row>
    <row r="100" spans="2:12" x14ac:dyDescent="0.3">
      <c r="B100" s="3">
        <v>10551</v>
      </c>
      <c r="C100" s="4">
        <v>44892</v>
      </c>
      <c r="D100" t="s">
        <v>25</v>
      </c>
      <c r="E100" s="3">
        <v>9.9499999999999993</v>
      </c>
      <c r="F100" s="3" t="s">
        <v>36</v>
      </c>
      <c r="G100" s="3" t="s">
        <v>22</v>
      </c>
      <c r="H100" t="s">
        <v>38</v>
      </c>
      <c r="I100">
        <v>202</v>
      </c>
      <c r="J100" t="e" vm="1">
        <v>#VALUE!</v>
      </c>
      <c r="K100" t="e" cm="1" vm="2">
        <f t="array" aca="1" ref="K100" ca="1">_FV(Table2[[#This Row],[City]],"Country/region",TRUE)</f>
        <v>#VALUE!</v>
      </c>
      <c r="L100">
        <f>Table2[[#This Row],[Quantity2]]*Table2[[#This Row],[Price]]</f>
        <v>2009.8999999999999</v>
      </c>
    </row>
    <row r="101" spans="2:12" x14ac:dyDescent="0.3">
      <c r="B101" s="3">
        <v>10552</v>
      </c>
      <c r="C101" s="4">
        <v>44892</v>
      </c>
      <c r="D101" t="s">
        <v>9</v>
      </c>
      <c r="E101" s="3">
        <v>3.49</v>
      </c>
      <c r="F101" s="3" t="s">
        <v>10</v>
      </c>
      <c r="G101" s="3" t="s">
        <v>22</v>
      </c>
      <c r="H101" t="s">
        <v>38</v>
      </c>
      <c r="I101">
        <v>631</v>
      </c>
      <c r="J101" t="e" vm="1">
        <v>#VALUE!</v>
      </c>
      <c r="K101" t="e" cm="1" vm="2">
        <f t="array" aca="1" ref="K101" ca="1">_FV(Table2[[#This Row],[City]],"Country/region",TRUE)</f>
        <v>#VALUE!</v>
      </c>
      <c r="L101">
        <f>Table2[[#This Row],[Quantity2]]*Table2[[#This Row],[Price]]</f>
        <v>2202.19</v>
      </c>
    </row>
    <row r="102" spans="2:12" x14ac:dyDescent="0.3">
      <c r="B102" s="3">
        <v>10553</v>
      </c>
      <c r="C102" s="4">
        <v>44892</v>
      </c>
      <c r="D102" t="s">
        <v>14</v>
      </c>
      <c r="E102" s="3">
        <v>2.95</v>
      </c>
      <c r="F102" s="3" t="s">
        <v>10</v>
      </c>
      <c r="G102" s="3" t="s">
        <v>22</v>
      </c>
      <c r="H102" t="s">
        <v>38</v>
      </c>
      <c r="I102">
        <v>746</v>
      </c>
      <c r="J102" t="e" vm="1">
        <v>#VALUE!</v>
      </c>
      <c r="K102" t="e" cm="1" vm="2">
        <f t="array" aca="1" ref="K102" ca="1">_FV(Table2[[#This Row],[City]],"Country/region",TRUE)</f>
        <v>#VALUE!</v>
      </c>
      <c r="L102">
        <f>Table2[[#This Row],[Quantity2]]*Table2[[#This Row],[Price]]</f>
        <v>2200.7000000000003</v>
      </c>
    </row>
    <row r="103" spans="2:12" x14ac:dyDescent="0.3">
      <c r="B103" s="3">
        <v>10554</v>
      </c>
      <c r="C103" s="4">
        <v>44892</v>
      </c>
      <c r="D103" t="s">
        <v>17</v>
      </c>
      <c r="E103" s="3">
        <v>4.99</v>
      </c>
      <c r="F103" s="3" t="s">
        <v>10</v>
      </c>
      <c r="G103" s="3" t="s">
        <v>22</v>
      </c>
      <c r="H103" t="s">
        <v>38</v>
      </c>
      <c r="I103">
        <v>201</v>
      </c>
      <c r="J103" t="e" vm="1">
        <v>#VALUE!</v>
      </c>
      <c r="K103" t="e" cm="1" vm="2">
        <f t="array" aca="1" ref="K103" ca="1">_FV(Table2[[#This Row],[City]],"Country/region",TRUE)</f>
        <v>#VALUE!</v>
      </c>
      <c r="L103">
        <f>Table2[[#This Row],[Quantity2]]*Table2[[#This Row],[Price]]</f>
        <v>1002.99</v>
      </c>
    </row>
    <row r="104" spans="2:12" x14ac:dyDescent="0.3">
      <c r="B104" s="3">
        <v>10555</v>
      </c>
      <c r="C104" s="4">
        <v>44893</v>
      </c>
      <c r="D104" t="s">
        <v>21</v>
      </c>
      <c r="E104" s="3">
        <v>12.99</v>
      </c>
      <c r="F104" s="3" t="s">
        <v>10</v>
      </c>
      <c r="G104" s="3" t="s">
        <v>22</v>
      </c>
      <c r="H104" t="s">
        <v>38</v>
      </c>
      <c r="I104">
        <v>478</v>
      </c>
      <c r="J104" t="e" vm="1">
        <v>#VALUE!</v>
      </c>
      <c r="K104" t="e" cm="1" vm="2">
        <f t="array" aca="1" ref="K104" ca="1">_FV(Table2[[#This Row],[City]],"Country/region",TRUE)</f>
        <v>#VALUE!</v>
      </c>
      <c r="L104">
        <f>Table2[[#This Row],[Quantity2]]*Table2[[#This Row],[Price]]</f>
        <v>6209.22</v>
      </c>
    </row>
    <row r="105" spans="2:12" x14ac:dyDescent="0.3">
      <c r="B105" s="3">
        <v>10556</v>
      </c>
      <c r="C105" s="4">
        <v>44893</v>
      </c>
      <c r="D105" t="s">
        <v>25</v>
      </c>
      <c r="E105" s="3">
        <v>9.9499999999999993</v>
      </c>
      <c r="F105" s="3" t="s">
        <v>10</v>
      </c>
      <c r="G105" s="3" t="s">
        <v>22</v>
      </c>
      <c r="H105" t="s">
        <v>38</v>
      </c>
      <c r="I105">
        <v>202</v>
      </c>
      <c r="J105" t="e" vm="1">
        <v>#VALUE!</v>
      </c>
      <c r="K105" t="e" cm="1" vm="2">
        <f t="array" aca="1" ref="K105" ca="1">_FV(Table2[[#This Row],[City]],"Country/region",TRUE)</f>
        <v>#VALUE!</v>
      </c>
      <c r="L105">
        <f>Table2[[#This Row],[Quantity2]]*Table2[[#This Row],[Price]]</f>
        <v>2009.8999999999999</v>
      </c>
    </row>
    <row r="106" spans="2:12" x14ac:dyDescent="0.3">
      <c r="B106" s="3">
        <v>10557</v>
      </c>
      <c r="C106" s="4">
        <v>44893</v>
      </c>
      <c r="D106" t="s">
        <v>9</v>
      </c>
      <c r="E106" s="3">
        <v>3.49</v>
      </c>
      <c r="F106" s="3" t="s">
        <v>10</v>
      </c>
      <c r="G106" s="3" t="s">
        <v>22</v>
      </c>
      <c r="H106" t="s">
        <v>38</v>
      </c>
      <c r="I106">
        <v>631</v>
      </c>
      <c r="J106" t="e" vm="1">
        <v>#VALUE!</v>
      </c>
      <c r="K106" t="e" cm="1" vm="2">
        <f t="array" aca="1" ref="K106" ca="1">_FV(Table2[[#This Row],[City]],"Country/region",TRUE)</f>
        <v>#VALUE!</v>
      </c>
      <c r="L106">
        <f>Table2[[#This Row],[Quantity2]]*Table2[[#This Row],[Price]]</f>
        <v>2202.19</v>
      </c>
    </row>
    <row r="107" spans="2:12" x14ac:dyDescent="0.3">
      <c r="B107" s="3">
        <v>10558</v>
      </c>
      <c r="C107" s="4">
        <v>44893</v>
      </c>
      <c r="D107" t="s">
        <v>14</v>
      </c>
      <c r="E107" s="3">
        <v>2.95</v>
      </c>
      <c r="F107" s="3" t="s">
        <v>10</v>
      </c>
      <c r="G107" s="3" t="s">
        <v>22</v>
      </c>
      <c r="H107" t="s">
        <v>38</v>
      </c>
      <c r="I107">
        <v>678</v>
      </c>
      <c r="J107" t="e" vm="1">
        <v>#VALUE!</v>
      </c>
      <c r="K107" t="e" cm="1" vm="2">
        <f t="array" aca="1" ref="K107" ca="1">_FV(Table2[[#This Row],[City]],"Country/region",TRUE)</f>
        <v>#VALUE!</v>
      </c>
      <c r="L107">
        <f>Table2[[#This Row],[Quantity2]]*Table2[[#This Row],[Price]]</f>
        <v>2000.1000000000001</v>
      </c>
    </row>
    <row r="108" spans="2:12" x14ac:dyDescent="0.3">
      <c r="B108" s="3">
        <v>10559</v>
      </c>
      <c r="C108" s="4">
        <v>44893</v>
      </c>
      <c r="D108" t="s">
        <v>17</v>
      </c>
      <c r="E108" s="3">
        <v>4.99</v>
      </c>
      <c r="F108" s="3" t="s">
        <v>10</v>
      </c>
      <c r="G108" s="3" t="s">
        <v>22</v>
      </c>
      <c r="H108" t="s">
        <v>38</v>
      </c>
      <c r="I108">
        <v>201</v>
      </c>
      <c r="J108" t="e" vm="1">
        <v>#VALUE!</v>
      </c>
      <c r="K108" t="e" cm="1" vm="2">
        <f t="array" aca="1" ref="K108" ca="1">_FV(Table2[[#This Row],[City]],"Country/region",TRUE)</f>
        <v>#VALUE!</v>
      </c>
      <c r="L108">
        <f>Table2[[#This Row],[Quantity2]]*Table2[[#This Row],[Price]]</f>
        <v>1002.99</v>
      </c>
    </row>
    <row r="109" spans="2:12" x14ac:dyDescent="0.3">
      <c r="B109" s="3">
        <v>10560</v>
      </c>
      <c r="C109" s="4">
        <v>44894</v>
      </c>
      <c r="D109" t="s">
        <v>21</v>
      </c>
      <c r="E109" s="3">
        <v>12.99</v>
      </c>
      <c r="F109" s="3" t="s">
        <v>10</v>
      </c>
      <c r="G109" s="3" t="s">
        <v>22</v>
      </c>
      <c r="H109" t="s">
        <v>38</v>
      </c>
      <c r="I109">
        <v>478</v>
      </c>
      <c r="J109" t="e" vm="1">
        <v>#VALUE!</v>
      </c>
      <c r="K109" t="e" cm="1" vm="2">
        <f t="array" aca="1" ref="K109" ca="1">_FV(Table2[[#This Row],[City]],"Country/region",TRUE)</f>
        <v>#VALUE!</v>
      </c>
      <c r="L109">
        <f>Table2[[#This Row],[Quantity2]]*Table2[[#This Row],[Price]]</f>
        <v>6209.22</v>
      </c>
    </row>
    <row r="110" spans="2:12" x14ac:dyDescent="0.3">
      <c r="B110" s="3">
        <v>10561</v>
      </c>
      <c r="C110" s="4">
        <v>44894</v>
      </c>
      <c r="D110" t="s">
        <v>25</v>
      </c>
      <c r="E110" s="3">
        <v>9.9499999999999993</v>
      </c>
      <c r="F110" s="3" t="s">
        <v>10</v>
      </c>
      <c r="G110" s="3" t="s">
        <v>22</v>
      </c>
      <c r="H110" t="s">
        <v>38</v>
      </c>
      <c r="I110">
        <v>202</v>
      </c>
      <c r="J110" t="e" vm="1">
        <v>#VALUE!</v>
      </c>
      <c r="K110" t="e" cm="1" vm="2">
        <f t="array" aca="1" ref="K110" ca="1">_FV(Table2[[#This Row],[City]],"Country/region",TRUE)</f>
        <v>#VALUE!</v>
      </c>
      <c r="L110">
        <f>Table2[[#This Row],[Quantity2]]*Table2[[#This Row],[Price]]</f>
        <v>2009.8999999999999</v>
      </c>
    </row>
    <row r="111" spans="2:12" x14ac:dyDescent="0.3">
      <c r="B111" s="3">
        <v>10562</v>
      </c>
      <c r="C111" s="4">
        <v>44894</v>
      </c>
      <c r="D111" t="s">
        <v>9</v>
      </c>
      <c r="E111" s="3">
        <v>3.49</v>
      </c>
      <c r="F111" s="3" t="s">
        <v>10</v>
      </c>
      <c r="G111" s="3" t="s">
        <v>22</v>
      </c>
      <c r="H111" t="s">
        <v>38</v>
      </c>
      <c r="I111">
        <v>631</v>
      </c>
      <c r="J111" t="e" vm="1">
        <v>#VALUE!</v>
      </c>
      <c r="K111" t="e" cm="1" vm="2">
        <f t="array" aca="1" ref="K111" ca="1">_FV(Table2[[#This Row],[City]],"Country/region",TRUE)</f>
        <v>#VALUE!</v>
      </c>
      <c r="L111">
        <f>Table2[[#This Row],[Quantity2]]*Table2[[#This Row],[Price]]</f>
        <v>2202.19</v>
      </c>
    </row>
    <row r="112" spans="2:12" x14ac:dyDescent="0.3">
      <c r="B112" s="3">
        <v>10563</v>
      </c>
      <c r="C112" s="4">
        <v>44894</v>
      </c>
      <c r="D112" t="s">
        <v>14</v>
      </c>
      <c r="E112" s="3">
        <v>2.95</v>
      </c>
      <c r="F112" s="3" t="s">
        <v>10</v>
      </c>
      <c r="G112" s="3" t="s">
        <v>22</v>
      </c>
      <c r="H112" t="s">
        <v>38</v>
      </c>
      <c r="I112">
        <v>678</v>
      </c>
      <c r="J112" t="e" vm="1">
        <v>#VALUE!</v>
      </c>
      <c r="K112" t="e" cm="1" vm="2">
        <f t="array" aca="1" ref="K112" ca="1">_FV(Table2[[#This Row],[City]],"Country/region",TRUE)</f>
        <v>#VALUE!</v>
      </c>
      <c r="L112">
        <f>Table2[[#This Row],[Quantity2]]*Table2[[#This Row],[Price]]</f>
        <v>2000.1000000000001</v>
      </c>
    </row>
    <row r="113" spans="2:12" x14ac:dyDescent="0.3">
      <c r="B113" s="3">
        <v>10564</v>
      </c>
      <c r="C113" s="4">
        <v>44894</v>
      </c>
      <c r="D113" t="s">
        <v>17</v>
      </c>
      <c r="E113" s="3">
        <v>4.99</v>
      </c>
      <c r="F113" s="3" t="s">
        <v>10</v>
      </c>
      <c r="G113" s="3" t="s">
        <v>22</v>
      </c>
      <c r="H113" t="s">
        <v>38</v>
      </c>
      <c r="I113">
        <v>201</v>
      </c>
      <c r="J113" t="e" vm="1">
        <v>#VALUE!</v>
      </c>
      <c r="K113" t="e" cm="1" vm="2">
        <f t="array" aca="1" ref="K113" ca="1">_FV(Table2[[#This Row],[City]],"Country/region",TRUE)</f>
        <v>#VALUE!</v>
      </c>
      <c r="L113">
        <f>Table2[[#This Row],[Quantity2]]*Table2[[#This Row],[Price]]</f>
        <v>1002.99</v>
      </c>
    </row>
    <row r="114" spans="2:12" x14ac:dyDescent="0.3">
      <c r="B114" s="3">
        <v>10565</v>
      </c>
      <c r="C114" s="4">
        <v>44895</v>
      </c>
      <c r="D114" t="s">
        <v>21</v>
      </c>
      <c r="E114" s="3">
        <v>12.99</v>
      </c>
      <c r="F114" s="3" t="s">
        <v>10</v>
      </c>
      <c r="G114" s="3" t="s">
        <v>22</v>
      </c>
      <c r="H114" t="s">
        <v>38</v>
      </c>
      <c r="I114">
        <v>493</v>
      </c>
      <c r="J114" t="e" vm="1">
        <v>#VALUE!</v>
      </c>
      <c r="K114" t="e" cm="1" vm="2">
        <f t="array" aca="1" ref="K114" ca="1">_FV(Table2[[#This Row],[City]],"Country/region",TRUE)</f>
        <v>#VALUE!</v>
      </c>
      <c r="L114">
        <f>Table2[[#This Row],[Quantity2]]*Table2[[#This Row],[Price]]</f>
        <v>6404.07</v>
      </c>
    </row>
    <row r="115" spans="2:12" x14ac:dyDescent="0.3">
      <c r="B115" s="3">
        <v>10566</v>
      </c>
      <c r="C115" s="4">
        <v>44895</v>
      </c>
      <c r="D115" t="s">
        <v>25</v>
      </c>
      <c r="E115" s="3">
        <v>9.9499999999999993</v>
      </c>
      <c r="F115" s="3" t="s">
        <v>10</v>
      </c>
      <c r="G115" s="3" t="s">
        <v>22</v>
      </c>
      <c r="H115" t="s">
        <v>38</v>
      </c>
      <c r="I115">
        <v>202</v>
      </c>
      <c r="J115" t="e" vm="1">
        <v>#VALUE!</v>
      </c>
      <c r="K115" t="e" cm="1" vm="2">
        <f t="array" aca="1" ref="K115" ca="1">_FV(Table2[[#This Row],[City]],"Country/region",TRUE)</f>
        <v>#VALUE!</v>
      </c>
      <c r="L115">
        <f>Table2[[#This Row],[Quantity2]]*Table2[[#This Row],[Price]]</f>
        <v>2009.8999999999999</v>
      </c>
    </row>
    <row r="116" spans="2:12" x14ac:dyDescent="0.3">
      <c r="B116" s="3">
        <v>10567</v>
      </c>
      <c r="C116" s="4">
        <v>44895</v>
      </c>
      <c r="D116" t="s">
        <v>9</v>
      </c>
      <c r="E116" s="3">
        <v>3.49</v>
      </c>
      <c r="F116" s="3" t="s">
        <v>10</v>
      </c>
      <c r="G116" s="3" t="s">
        <v>22</v>
      </c>
      <c r="H116" t="s">
        <v>38</v>
      </c>
      <c r="I116">
        <v>631</v>
      </c>
      <c r="J116" t="e" vm="1">
        <v>#VALUE!</v>
      </c>
      <c r="K116" t="e" cm="1" vm="2">
        <f t="array" aca="1" ref="K116" ca="1">_FV(Table2[[#This Row],[City]],"Country/region",TRUE)</f>
        <v>#VALUE!</v>
      </c>
      <c r="L116">
        <f>Table2[[#This Row],[Quantity2]]*Table2[[#This Row],[Price]]</f>
        <v>2202.19</v>
      </c>
    </row>
    <row r="117" spans="2:12" x14ac:dyDescent="0.3">
      <c r="B117" s="3">
        <v>10568</v>
      </c>
      <c r="C117" s="4">
        <v>44895</v>
      </c>
      <c r="D117" t="s">
        <v>14</v>
      </c>
      <c r="E117" s="3">
        <v>2.95</v>
      </c>
      <c r="F117" s="3" t="s">
        <v>10</v>
      </c>
      <c r="G117" s="3" t="s">
        <v>22</v>
      </c>
      <c r="H117" t="s">
        <v>38</v>
      </c>
      <c r="I117">
        <v>678</v>
      </c>
      <c r="J117" t="e" vm="1">
        <v>#VALUE!</v>
      </c>
      <c r="K117" t="e" cm="1" vm="2">
        <f t="array" aca="1" ref="K117" ca="1">_FV(Table2[[#This Row],[City]],"Country/region",TRUE)</f>
        <v>#VALUE!</v>
      </c>
      <c r="L117">
        <f>Table2[[#This Row],[Quantity2]]*Table2[[#This Row],[Price]]</f>
        <v>2000.1000000000001</v>
      </c>
    </row>
    <row r="118" spans="2:12" x14ac:dyDescent="0.3">
      <c r="B118" s="3">
        <v>10569</v>
      </c>
      <c r="C118" s="4">
        <v>44895</v>
      </c>
      <c r="D118" t="s">
        <v>17</v>
      </c>
      <c r="E118" s="3">
        <v>4.99</v>
      </c>
      <c r="F118" s="3" t="s">
        <v>10</v>
      </c>
      <c r="G118" s="3" t="s">
        <v>22</v>
      </c>
      <c r="H118" t="s">
        <v>38</v>
      </c>
      <c r="I118">
        <v>201</v>
      </c>
      <c r="J118" t="e" vm="1">
        <v>#VALUE!</v>
      </c>
      <c r="K118" t="e" cm="1" vm="2">
        <f t="array" aca="1" ref="K118" ca="1">_FV(Table2[[#This Row],[City]],"Country/region",TRUE)</f>
        <v>#VALUE!</v>
      </c>
      <c r="L118">
        <f>Table2[[#This Row],[Quantity2]]*Table2[[#This Row],[Price]]</f>
        <v>1002.99</v>
      </c>
    </row>
    <row r="119" spans="2:12" x14ac:dyDescent="0.3">
      <c r="B119" s="3">
        <v>10570</v>
      </c>
      <c r="C119" s="4">
        <v>44896</v>
      </c>
      <c r="D119" t="s">
        <v>21</v>
      </c>
      <c r="E119" s="3">
        <v>12.99</v>
      </c>
      <c r="F119" s="3" t="s">
        <v>10</v>
      </c>
      <c r="G119" s="3" t="s">
        <v>22</v>
      </c>
      <c r="H119" t="s">
        <v>38</v>
      </c>
      <c r="I119">
        <v>493</v>
      </c>
      <c r="J119" t="e" vm="1">
        <v>#VALUE!</v>
      </c>
      <c r="K119" t="e" cm="1" vm="2">
        <f t="array" aca="1" ref="K119" ca="1">_FV(Table2[[#This Row],[City]],"Country/region",TRUE)</f>
        <v>#VALUE!</v>
      </c>
      <c r="L119">
        <f>Table2[[#This Row],[Quantity2]]*Table2[[#This Row],[Price]]</f>
        <v>6404.07</v>
      </c>
    </row>
    <row r="120" spans="2:12" x14ac:dyDescent="0.3">
      <c r="B120" s="3">
        <v>10571</v>
      </c>
      <c r="C120" s="4">
        <v>44896</v>
      </c>
      <c r="D120" t="s">
        <v>25</v>
      </c>
      <c r="E120" s="3">
        <v>9.9499999999999993</v>
      </c>
      <c r="F120" s="3" t="s">
        <v>10</v>
      </c>
      <c r="G120" s="3" t="s">
        <v>22</v>
      </c>
      <c r="H120" t="s">
        <v>38</v>
      </c>
      <c r="I120">
        <v>202</v>
      </c>
      <c r="J120" t="e" vm="1">
        <v>#VALUE!</v>
      </c>
      <c r="K120" t="e" cm="1" vm="2">
        <f t="array" aca="1" ref="K120" ca="1">_FV(Table2[[#This Row],[City]],"Country/region",TRUE)</f>
        <v>#VALUE!</v>
      </c>
      <c r="L120">
        <f>Table2[[#This Row],[Quantity2]]*Table2[[#This Row],[Price]]</f>
        <v>2009.8999999999999</v>
      </c>
    </row>
    <row r="121" spans="2:12" x14ac:dyDescent="0.3">
      <c r="B121" s="3">
        <v>10572</v>
      </c>
      <c r="C121" s="4">
        <v>44896</v>
      </c>
      <c r="D121" t="s">
        <v>9</v>
      </c>
      <c r="E121" s="3">
        <v>3.49</v>
      </c>
      <c r="F121" s="3" t="s">
        <v>10</v>
      </c>
      <c r="G121" s="3" t="s">
        <v>22</v>
      </c>
      <c r="H121" t="s">
        <v>28</v>
      </c>
      <c r="I121">
        <v>574</v>
      </c>
      <c r="J121" t="e" vm="9">
        <v>#VALUE!</v>
      </c>
      <c r="K121" t="e" cm="1" vm="10">
        <f t="array" aca="1" ref="K121" ca="1">_FV(Table2[[#This Row],[City]],"Country/region",TRUE)</f>
        <v>#VALUE!</v>
      </c>
      <c r="L121">
        <f>Table2[[#This Row],[Quantity2]]*Table2[[#This Row],[Price]]</f>
        <v>2003.2600000000002</v>
      </c>
    </row>
    <row r="122" spans="2:12" x14ac:dyDescent="0.3">
      <c r="B122" s="3">
        <v>10573</v>
      </c>
      <c r="C122" s="4">
        <v>44896</v>
      </c>
      <c r="D122" t="s">
        <v>14</v>
      </c>
      <c r="E122" s="3">
        <v>2.95</v>
      </c>
      <c r="F122" s="3" t="s">
        <v>10</v>
      </c>
      <c r="G122" s="3" t="s">
        <v>22</v>
      </c>
      <c r="H122" t="s">
        <v>28</v>
      </c>
      <c r="I122">
        <v>678</v>
      </c>
      <c r="J122" t="e" vm="9">
        <v>#VALUE!</v>
      </c>
      <c r="K122" t="e" cm="1" vm="10">
        <f t="array" aca="1" ref="K122" ca="1">_FV(Table2[[#This Row],[City]],"Country/region",TRUE)</f>
        <v>#VALUE!</v>
      </c>
      <c r="L122">
        <f>Table2[[#This Row],[Quantity2]]*Table2[[#This Row],[Price]]</f>
        <v>2000.1000000000001</v>
      </c>
    </row>
    <row r="123" spans="2:12" x14ac:dyDescent="0.3">
      <c r="B123" s="3">
        <v>10574</v>
      </c>
      <c r="C123" s="4">
        <v>44896</v>
      </c>
      <c r="D123" t="s">
        <v>17</v>
      </c>
      <c r="E123" s="3">
        <v>4.99</v>
      </c>
      <c r="F123" s="3" t="s">
        <v>10</v>
      </c>
      <c r="G123" s="3" t="s">
        <v>22</v>
      </c>
      <c r="H123" t="s">
        <v>28</v>
      </c>
      <c r="I123">
        <v>201</v>
      </c>
      <c r="J123" t="e" vm="9">
        <v>#VALUE!</v>
      </c>
      <c r="K123" t="e" cm="1" vm="10">
        <f t="array" aca="1" ref="K123" ca="1">_FV(Table2[[#This Row],[City]],"Country/region",TRUE)</f>
        <v>#VALUE!</v>
      </c>
      <c r="L123">
        <f>Table2[[#This Row],[Quantity2]]*Table2[[#This Row],[Price]]</f>
        <v>1002.99</v>
      </c>
    </row>
    <row r="124" spans="2:12" x14ac:dyDescent="0.3">
      <c r="B124" s="3">
        <v>10575</v>
      </c>
      <c r="C124" s="4">
        <v>44897</v>
      </c>
      <c r="D124" t="s">
        <v>21</v>
      </c>
      <c r="E124" s="3">
        <v>12.99</v>
      </c>
      <c r="F124" s="3" t="s">
        <v>10</v>
      </c>
      <c r="G124" s="3" t="s">
        <v>22</v>
      </c>
      <c r="H124" t="s">
        <v>28</v>
      </c>
      <c r="I124">
        <v>524</v>
      </c>
      <c r="J124" t="e" vm="9">
        <v>#VALUE!</v>
      </c>
      <c r="K124" t="e" cm="1" vm="10">
        <f t="array" aca="1" ref="K124" ca="1">_FV(Table2[[#This Row],[City]],"Country/region",TRUE)</f>
        <v>#VALUE!</v>
      </c>
      <c r="L124">
        <f>Table2[[#This Row],[Quantity2]]*Table2[[#This Row],[Price]]</f>
        <v>6806.76</v>
      </c>
    </row>
    <row r="125" spans="2:12" x14ac:dyDescent="0.3">
      <c r="B125" s="3">
        <v>10576</v>
      </c>
      <c r="C125" s="4">
        <v>44897</v>
      </c>
      <c r="D125" t="s">
        <v>25</v>
      </c>
      <c r="E125" s="3">
        <v>9.9499999999999993</v>
      </c>
      <c r="F125" s="3" t="s">
        <v>10</v>
      </c>
      <c r="G125" s="3" t="s">
        <v>22</v>
      </c>
      <c r="H125" t="s">
        <v>28</v>
      </c>
      <c r="I125">
        <v>202</v>
      </c>
      <c r="J125" t="e" vm="9">
        <v>#VALUE!</v>
      </c>
      <c r="K125" t="e" cm="1" vm="10">
        <f t="array" aca="1" ref="K125" ca="1">_FV(Table2[[#This Row],[City]],"Country/region",TRUE)</f>
        <v>#VALUE!</v>
      </c>
      <c r="L125">
        <f>Table2[[#This Row],[Quantity2]]*Table2[[#This Row],[Price]]</f>
        <v>2009.8999999999999</v>
      </c>
    </row>
    <row r="126" spans="2:12" x14ac:dyDescent="0.3">
      <c r="B126" s="3">
        <v>10577</v>
      </c>
      <c r="C126" s="4">
        <v>44897</v>
      </c>
      <c r="D126" t="s">
        <v>9</v>
      </c>
      <c r="E126" s="3">
        <v>3.49</v>
      </c>
      <c r="F126" s="3" t="s">
        <v>10</v>
      </c>
      <c r="G126" s="3" t="s">
        <v>22</v>
      </c>
      <c r="H126" t="s">
        <v>28</v>
      </c>
      <c r="I126">
        <v>631</v>
      </c>
      <c r="J126" t="e" vm="9">
        <v>#VALUE!</v>
      </c>
      <c r="K126" t="e" cm="1" vm="10">
        <f t="array" aca="1" ref="K126" ca="1">_FV(Table2[[#This Row],[City]],"Country/region",TRUE)</f>
        <v>#VALUE!</v>
      </c>
      <c r="L126">
        <f>Table2[[#This Row],[Quantity2]]*Table2[[#This Row],[Price]]</f>
        <v>2202.19</v>
      </c>
    </row>
    <row r="127" spans="2:12" x14ac:dyDescent="0.3">
      <c r="B127" s="3">
        <v>10578</v>
      </c>
      <c r="C127" s="4">
        <v>44897</v>
      </c>
      <c r="D127" t="s">
        <v>14</v>
      </c>
      <c r="E127" s="3">
        <v>2.95</v>
      </c>
      <c r="F127" s="3" t="s">
        <v>10</v>
      </c>
      <c r="G127" s="3" t="s">
        <v>22</v>
      </c>
      <c r="H127" t="s">
        <v>28</v>
      </c>
      <c r="I127">
        <v>678</v>
      </c>
      <c r="J127" t="e" vm="9">
        <v>#VALUE!</v>
      </c>
      <c r="K127" t="e" cm="1" vm="10">
        <f t="array" aca="1" ref="K127" ca="1">_FV(Table2[[#This Row],[City]],"Country/region",TRUE)</f>
        <v>#VALUE!</v>
      </c>
      <c r="L127">
        <f>Table2[[#This Row],[Quantity2]]*Table2[[#This Row],[Price]]</f>
        <v>2000.1000000000001</v>
      </c>
    </row>
    <row r="128" spans="2:12" x14ac:dyDescent="0.3">
      <c r="B128" s="3">
        <v>10579</v>
      </c>
      <c r="C128" s="4">
        <v>44897</v>
      </c>
      <c r="D128" t="s">
        <v>17</v>
      </c>
      <c r="E128" s="3">
        <v>4.99</v>
      </c>
      <c r="F128" s="3" t="s">
        <v>10</v>
      </c>
      <c r="G128" s="3" t="s">
        <v>22</v>
      </c>
      <c r="H128" t="s">
        <v>28</v>
      </c>
      <c r="I128">
        <v>201</v>
      </c>
      <c r="J128" t="e" vm="9">
        <v>#VALUE!</v>
      </c>
      <c r="K128" t="e" cm="1" vm="10">
        <f t="array" aca="1" ref="K128" ca="1">_FV(Table2[[#This Row],[City]],"Country/region",TRUE)</f>
        <v>#VALUE!</v>
      </c>
      <c r="L128">
        <f>Table2[[#This Row],[Quantity2]]*Table2[[#This Row],[Price]]</f>
        <v>1002.99</v>
      </c>
    </row>
    <row r="129" spans="2:12" x14ac:dyDescent="0.3">
      <c r="B129" s="3">
        <v>10580</v>
      </c>
      <c r="C129" s="4">
        <v>44898</v>
      </c>
      <c r="D129" t="s">
        <v>21</v>
      </c>
      <c r="E129" s="3">
        <v>12.99</v>
      </c>
      <c r="F129" s="3" t="s">
        <v>10</v>
      </c>
      <c r="G129" s="3" t="s">
        <v>22</v>
      </c>
      <c r="H129" t="s">
        <v>28</v>
      </c>
      <c r="I129">
        <v>524</v>
      </c>
      <c r="J129" t="e" vm="9">
        <v>#VALUE!</v>
      </c>
      <c r="K129" t="e" cm="1" vm="10">
        <f t="array" aca="1" ref="K129" ca="1">_FV(Table2[[#This Row],[City]],"Country/region",TRUE)</f>
        <v>#VALUE!</v>
      </c>
      <c r="L129">
        <f>Table2[[#This Row],[Quantity2]]*Table2[[#This Row],[Price]]</f>
        <v>6806.76</v>
      </c>
    </row>
    <row r="130" spans="2:12" x14ac:dyDescent="0.3">
      <c r="B130" s="3">
        <v>10581</v>
      </c>
      <c r="C130" s="4">
        <v>44898</v>
      </c>
      <c r="D130" t="s">
        <v>25</v>
      </c>
      <c r="E130" s="3">
        <v>9.9499999999999993</v>
      </c>
      <c r="F130" s="3" t="s">
        <v>10</v>
      </c>
      <c r="G130" s="3" t="s">
        <v>22</v>
      </c>
      <c r="H130" t="s">
        <v>28</v>
      </c>
      <c r="I130">
        <v>202</v>
      </c>
      <c r="J130" t="e" vm="9">
        <v>#VALUE!</v>
      </c>
      <c r="K130" t="e" cm="1" vm="10">
        <f t="array" aca="1" ref="K130" ca="1">_FV(Table2[[#This Row],[City]],"Country/region",TRUE)</f>
        <v>#VALUE!</v>
      </c>
      <c r="L130">
        <f>Table2[[#This Row],[Quantity2]]*Table2[[#This Row],[Price]]</f>
        <v>2009.8999999999999</v>
      </c>
    </row>
    <row r="131" spans="2:12" x14ac:dyDescent="0.3">
      <c r="B131" s="3">
        <v>10582</v>
      </c>
      <c r="C131" s="4">
        <v>44898</v>
      </c>
      <c r="D131" t="s">
        <v>9</v>
      </c>
      <c r="E131" s="3">
        <v>3.49</v>
      </c>
      <c r="F131" s="3" t="s">
        <v>10</v>
      </c>
      <c r="G131" s="3" t="s">
        <v>22</v>
      </c>
      <c r="H131" t="s">
        <v>38</v>
      </c>
      <c r="I131">
        <v>631</v>
      </c>
      <c r="J131" t="e" vm="1">
        <v>#VALUE!</v>
      </c>
      <c r="K131" t="e" cm="1" vm="2">
        <f t="array" aca="1" ref="K131" ca="1">_FV(Table2[[#This Row],[City]],"Country/region",TRUE)</f>
        <v>#VALUE!</v>
      </c>
      <c r="L131">
        <f>Table2[[#This Row],[Quantity2]]*Table2[[#This Row],[Price]]</f>
        <v>2202.19</v>
      </c>
    </row>
    <row r="132" spans="2:12" x14ac:dyDescent="0.3">
      <c r="B132" s="3">
        <v>10583</v>
      </c>
      <c r="C132" s="4">
        <v>44898</v>
      </c>
      <c r="D132" t="s">
        <v>14</v>
      </c>
      <c r="E132" s="3">
        <v>2.95</v>
      </c>
      <c r="F132" s="3" t="s">
        <v>10</v>
      </c>
      <c r="G132" s="3" t="s">
        <v>22</v>
      </c>
      <c r="H132" t="s">
        <v>38</v>
      </c>
      <c r="I132">
        <v>678</v>
      </c>
      <c r="J132" t="e" vm="1">
        <v>#VALUE!</v>
      </c>
      <c r="K132" t="e" cm="1" vm="2">
        <f t="array" aca="1" ref="K132" ca="1">_FV(Table2[[#This Row],[City]],"Country/region",TRUE)</f>
        <v>#VALUE!</v>
      </c>
      <c r="L132">
        <f>Table2[[#This Row],[Quantity2]]*Table2[[#This Row],[Price]]</f>
        <v>2000.1000000000001</v>
      </c>
    </row>
    <row r="133" spans="2:12" x14ac:dyDescent="0.3">
      <c r="B133" s="3">
        <v>10584</v>
      </c>
      <c r="C133" s="4">
        <v>44898</v>
      </c>
      <c r="D133" t="s">
        <v>17</v>
      </c>
      <c r="E133" s="3">
        <v>4.99</v>
      </c>
      <c r="F133" s="3" t="s">
        <v>10</v>
      </c>
      <c r="G133" s="3" t="s">
        <v>22</v>
      </c>
      <c r="H133" t="s">
        <v>38</v>
      </c>
      <c r="I133">
        <v>201</v>
      </c>
      <c r="J133" t="e" vm="1">
        <v>#VALUE!</v>
      </c>
      <c r="K133" t="e" cm="1" vm="2">
        <f t="array" aca="1" ref="K133" ca="1">_FV(Table2[[#This Row],[City]],"Country/region",TRUE)</f>
        <v>#VALUE!</v>
      </c>
      <c r="L133">
        <f>Table2[[#This Row],[Quantity2]]*Table2[[#This Row],[Price]]</f>
        <v>1002.99</v>
      </c>
    </row>
    <row r="134" spans="2:12" x14ac:dyDescent="0.3">
      <c r="B134" s="3">
        <v>10585</v>
      </c>
      <c r="C134" s="4">
        <v>44899</v>
      </c>
      <c r="D134" t="s">
        <v>21</v>
      </c>
      <c r="E134" s="3">
        <v>12.99</v>
      </c>
      <c r="F134" s="3" t="s">
        <v>10</v>
      </c>
      <c r="G134" s="3" t="s">
        <v>22</v>
      </c>
      <c r="H134" t="s">
        <v>38</v>
      </c>
      <c r="I134">
        <v>539</v>
      </c>
      <c r="J134" t="e" vm="1">
        <v>#VALUE!</v>
      </c>
      <c r="K134" t="e" cm="1" vm="2">
        <f t="array" aca="1" ref="K134" ca="1">_FV(Table2[[#This Row],[City]],"Country/region",TRUE)</f>
        <v>#VALUE!</v>
      </c>
      <c r="L134">
        <f>Table2[[#This Row],[Quantity2]]*Table2[[#This Row],[Price]]</f>
        <v>7001.61</v>
      </c>
    </row>
    <row r="135" spans="2:12" x14ac:dyDescent="0.3">
      <c r="B135" s="3">
        <v>10586</v>
      </c>
      <c r="C135" s="4">
        <v>44899</v>
      </c>
      <c r="D135" t="s">
        <v>25</v>
      </c>
      <c r="E135" s="3">
        <v>9.9499999999999993</v>
      </c>
      <c r="F135" s="3" t="s">
        <v>10</v>
      </c>
      <c r="G135" s="3" t="s">
        <v>22</v>
      </c>
      <c r="H135" t="s">
        <v>38</v>
      </c>
      <c r="I135">
        <v>202</v>
      </c>
      <c r="J135" t="e" vm="1">
        <v>#VALUE!</v>
      </c>
      <c r="K135" t="e" cm="1" vm="2">
        <f t="array" aca="1" ref="K135" ca="1">_FV(Table2[[#This Row],[City]],"Country/region",TRUE)</f>
        <v>#VALUE!</v>
      </c>
      <c r="L135">
        <f>Table2[[#This Row],[Quantity2]]*Table2[[#This Row],[Price]]</f>
        <v>2009.8999999999999</v>
      </c>
    </row>
    <row r="136" spans="2:12" x14ac:dyDescent="0.3">
      <c r="B136" s="3">
        <v>10590</v>
      </c>
      <c r="C136" s="4">
        <v>44900</v>
      </c>
      <c r="D136" t="s">
        <v>21</v>
      </c>
      <c r="E136" s="3">
        <v>12.99</v>
      </c>
      <c r="F136" s="3" t="s">
        <v>10</v>
      </c>
      <c r="G136" s="3" t="s">
        <v>22</v>
      </c>
      <c r="H136" t="s">
        <v>38</v>
      </c>
      <c r="I136">
        <v>555</v>
      </c>
      <c r="J136" t="e" vm="1">
        <v>#VALUE!</v>
      </c>
      <c r="K136" t="e" cm="1" vm="2">
        <f t="array" aca="1" ref="K136" ca="1">_FV(Table2[[#This Row],[City]],"Country/region",TRUE)</f>
        <v>#VALUE!</v>
      </c>
      <c r="L136">
        <f>Table2[[#This Row],[Quantity2]]*Table2[[#This Row],[Price]]</f>
        <v>7209.45</v>
      </c>
    </row>
    <row r="137" spans="2:12" x14ac:dyDescent="0.3">
      <c r="B137" s="3">
        <v>10591</v>
      </c>
      <c r="C137" s="4">
        <v>44900</v>
      </c>
      <c r="D137" t="s">
        <v>25</v>
      </c>
      <c r="E137" s="3">
        <v>9.9499999999999993</v>
      </c>
      <c r="F137" s="3" t="s">
        <v>10</v>
      </c>
      <c r="G137" s="3" t="s">
        <v>22</v>
      </c>
      <c r="H137" t="s">
        <v>38</v>
      </c>
      <c r="I137">
        <v>202</v>
      </c>
      <c r="J137" t="e" vm="1">
        <v>#VALUE!</v>
      </c>
      <c r="K137" t="e" cm="1" vm="2">
        <f t="array" aca="1" ref="K137" ca="1">_FV(Table2[[#This Row],[City]],"Country/region",TRUE)</f>
        <v>#VALUE!</v>
      </c>
      <c r="L137">
        <f>Table2[[#This Row],[Quantity2]]*Table2[[#This Row],[Price]]</f>
        <v>2009.8999999999999</v>
      </c>
    </row>
    <row r="138" spans="2:12" x14ac:dyDescent="0.3">
      <c r="B138" s="3">
        <v>10592</v>
      </c>
      <c r="C138" s="4">
        <v>44900</v>
      </c>
      <c r="D138" t="s">
        <v>9</v>
      </c>
      <c r="E138" s="3">
        <v>3.49</v>
      </c>
      <c r="F138" s="3" t="s">
        <v>10</v>
      </c>
      <c r="G138" s="3" t="s">
        <v>22</v>
      </c>
      <c r="H138" t="s">
        <v>38</v>
      </c>
      <c r="I138">
        <v>574</v>
      </c>
      <c r="J138" t="e" vm="1">
        <v>#VALUE!</v>
      </c>
      <c r="K138" t="e" cm="1" vm="2">
        <f t="array" aca="1" ref="K138" ca="1">_FV(Table2[[#This Row],[City]],"Country/region",TRUE)</f>
        <v>#VALUE!</v>
      </c>
      <c r="L138">
        <f>Table2[[#This Row],[Quantity2]]*Table2[[#This Row],[Price]]</f>
        <v>2003.2600000000002</v>
      </c>
    </row>
    <row r="139" spans="2:12" x14ac:dyDescent="0.3">
      <c r="B139" s="3">
        <v>10593</v>
      </c>
      <c r="C139" s="4">
        <v>44900</v>
      </c>
      <c r="D139" t="s">
        <v>14</v>
      </c>
      <c r="E139" s="3">
        <v>2.95</v>
      </c>
      <c r="F139" s="3" t="s">
        <v>10</v>
      </c>
      <c r="G139" s="3" t="s">
        <v>22</v>
      </c>
      <c r="H139" t="s">
        <v>38</v>
      </c>
      <c r="I139">
        <v>678</v>
      </c>
      <c r="J139" t="e" vm="1">
        <v>#VALUE!</v>
      </c>
      <c r="K139" t="e" cm="1" vm="2">
        <f t="array" aca="1" ref="K139" ca="1">_FV(Table2[[#This Row],[City]],"Country/region",TRUE)</f>
        <v>#VALUE!</v>
      </c>
      <c r="L139">
        <f>Table2[[#This Row],[Quantity2]]*Table2[[#This Row],[Price]]</f>
        <v>2000.1000000000001</v>
      </c>
    </row>
    <row r="140" spans="2:12" x14ac:dyDescent="0.3">
      <c r="B140" s="3">
        <v>10594</v>
      </c>
      <c r="C140" s="4">
        <v>44900</v>
      </c>
      <c r="D140" t="s">
        <v>17</v>
      </c>
      <c r="E140" s="3">
        <v>4.99</v>
      </c>
      <c r="F140" s="3" t="s">
        <v>10</v>
      </c>
      <c r="G140" s="3" t="s">
        <v>22</v>
      </c>
      <c r="H140" t="s">
        <v>38</v>
      </c>
      <c r="I140">
        <v>201</v>
      </c>
      <c r="J140" t="e" vm="1">
        <v>#VALUE!</v>
      </c>
      <c r="K140" t="e" cm="1" vm="2">
        <f t="array" aca="1" ref="K140" ca="1">_FV(Table2[[#This Row],[City]],"Country/region",TRUE)</f>
        <v>#VALUE!</v>
      </c>
      <c r="L140">
        <f>Table2[[#This Row],[Quantity2]]*Table2[[#This Row],[Price]]</f>
        <v>1002.99</v>
      </c>
    </row>
    <row r="141" spans="2:12" x14ac:dyDescent="0.3">
      <c r="B141" s="3">
        <v>10595</v>
      </c>
      <c r="C141" s="4">
        <v>44901</v>
      </c>
      <c r="D141" t="s">
        <v>21</v>
      </c>
      <c r="E141" s="3">
        <v>12.99</v>
      </c>
      <c r="F141" s="3" t="s">
        <v>10</v>
      </c>
      <c r="G141" s="3" t="s">
        <v>22</v>
      </c>
      <c r="H141" t="s">
        <v>38</v>
      </c>
      <c r="I141">
        <v>539</v>
      </c>
      <c r="J141" t="e" vm="1">
        <v>#VALUE!</v>
      </c>
      <c r="K141" t="e" cm="1" vm="2">
        <f t="array" aca="1" ref="K141" ca="1">_FV(Table2[[#This Row],[City]],"Country/region",TRUE)</f>
        <v>#VALUE!</v>
      </c>
      <c r="L141">
        <f>Table2[[#This Row],[Quantity2]]*Table2[[#This Row],[Price]]</f>
        <v>7001.61</v>
      </c>
    </row>
    <row r="142" spans="2:12" x14ac:dyDescent="0.3">
      <c r="B142" s="3">
        <v>10596</v>
      </c>
      <c r="C142" s="4">
        <v>44901</v>
      </c>
      <c r="D142" t="s">
        <v>25</v>
      </c>
      <c r="E142" s="3">
        <v>9.9499999999999993</v>
      </c>
      <c r="F142" s="3" t="s">
        <v>10</v>
      </c>
      <c r="G142" s="3" t="s">
        <v>22</v>
      </c>
      <c r="H142" t="s">
        <v>38</v>
      </c>
      <c r="I142">
        <v>202</v>
      </c>
      <c r="J142" t="e" vm="1">
        <v>#VALUE!</v>
      </c>
      <c r="K142" t="e" cm="1" vm="2">
        <f t="array" aca="1" ref="K142" ca="1">_FV(Table2[[#This Row],[City]],"Country/region",TRUE)</f>
        <v>#VALUE!</v>
      </c>
      <c r="L142">
        <f>Table2[[#This Row],[Quantity2]]*Table2[[#This Row],[Price]]</f>
        <v>2009.8999999999999</v>
      </c>
    </row>
    <row r="143" spans="2:12" x14ac:dyDescent="0.3">
      <c r="B143" s="3">
        <v>10597</v>
      </c>
      <c r="C143" s="4">
        <v>44901</v>
      </c>
      <c r="D143" t="s">
        <v>9</v>
      </c>
      <c r="E143" s="3">
        <v>3.49</v>
      </c>
      <c r="F143" s="3" t="s">
        <v>10</v>
      </c>
      <c r="G143" s="3" t="s">
        <v>22</v>
      </c>
      <c r="H143" t="s">
        <v>38</v>
      </c>
      <c r="I143">
        <v>574</v>
      </c>
      <c r="J143" t="e" vm="1">
        <v>#VALUE!</v>
      </c>
      <c r="K143" t="e" cm="1" vm="2">
        <f t="array" aca="1" ref="K143" ca="1">_FV(Table2[[#This Row],[City]],"Country/region",TRUE)</f>
        <v>#VALUE!</v>
      </c>
      <c r="L143">
        <f>Table2[[#This Row],[Quantity2]]*Table2[[#This Row],[Price]]</f>
        <v>2003.2600000000002</v>
      </c>
    </row>
    <row r="144" spans="2:12" x14ac:dyDescent="0.3">
      <c r="B144" s="3">
        <v>10598</v>
      </c>
      <c r="C144" s="4">
        <v>44901</v>
      </c>
      <c r="D144" t="s">
        <v>14</v>
      </c>
      <c r="E144" s="3">
        <v>2.95</v>
      </c>
      <c r="F144" s="3" t="s">
        <v>10</v>
      </c>
      <c r="G144" s="3" t="s">
        <v>22</v>
      </c>
      <c r="H144" t="s">
        <v>38</v>
      </c>
      <c r="I144">
        <v>678</v>
      </c>
      <c r="J144" t="e" vm="1">
        <v>#VALUE!</v>
      </c>
      <c r="K144" t="e" cm="1" vm="2">
        <f t="array" aca="1" ref="K144" ca="1">_FV(Table2[[#This Row],[City]],"Country/region",TRUE)</f>
        <v>#VALUE!</v>
      </c>
      <c r="L144">
        <f>Table2[[#This Row],[Quantity2]]*Table2[[#This Row],[Price]]</f>
        <v>2000.1000000000001</v>
      </c>
    </row>
    <row r="145" spans="2:12" x14ac:dyDescent="0.3">
      <c r="B145" s="3">
        <v>10599</v>
      </c>
      <c r="C145" s="4">
        <v>44901</v>
      </c>
      <c r="D145" t="s">
        <v>17</v>
      </c>
      <c r="E145" s="3">
        <v>4.99</v>
      </c>
      <c r="F145" s="3" t="s">
        <v>10</v>
      </c>
      <c r="G145" s="3" t="s">
        <v>22</v>
      </c>
      <c r="H145" t="s">
        <v>38</v>
      </c>
      <c r="I145">
        <v>201</v>
      </c>
      <c r="J145" t="e" vm="1">
        <v>#VALUE!</v>
      </c>
      <c r="K145" t="e" cm="1" vm="2">
        <f t="array" aca="1" ref="K145" ca="1">_FV(Table2[[#This Row],[City]],"Country/region",TRUE)</f>
        <v>#VALUE!</v>
      </c>
      <c r="L145">
        <f>Table2[[#This Row],[Quantity2]]*Table2[[#This Row],[Price]]</f>
        <v>1002.99</v>
      </c>
    </row>
    <row r="146" spans="2:12" x14ac:dyDescent="0.3">
      <c r="B146" s="3">
        <v>10600</v>
      </c>
      <c r="C146" s="4">
        <v>44902</v>
      </c>
      <c r="D146" t="s">
        <v>21</v>
      </c>
      <c r="E146" s="3">
        <v>12.99</v>
      </c>
      <c r="F146" s="3" t="s">
        <v>10</v>
      </c>
      <c r="G146" s="3" t="s">
        <v>22</v>
      </c>
      <c r="H146" t="s">
        <v>38</v>
      </c>
      <c r="I146">
        <v>524</v>
      </c>
      <c r="J146" t="e" vm="1">
        <v>#VALUE!</v>
      </c>
      <c r="K146" t="e" cm="1" vm="2">
        <f t="array" aca="1" ref="K146" ca="1">_FV(Table2[[#This Row],[City]],"Country/region",TRUE)</f>
        <v>#VALUE!</v>
      </c>
      <c r="L146">
        <f>Table2[[#This Row],[Quantity2]]*Table2[[#This Row],[Price]]</f>
        <v>6806.76</v>
      </c>
    </row>
    <row r="147" spans="2:12" x14ac:dyDescent="0.3">
      <c r="B147" s="3">
        <v>10601</v>
      </c>
      <c r="C147" s="4">
        <v>44902</v>
      </c>
      <c r="D147" t="s">
        <v>25</v>
      </c>
      <c r="E147" s="3">
        <v>9.9499999999999993</v>
      </c>
      <c r="F147" s="3" t="s">
        <v>10</v>
      </c>
      <c r="G147" s="3" t="s">
        <v>22</v>
      </c>
      <c r="H147" t="s">
        <v>38</v>
      </c>
      <c r="I147">
        <v>202</v>
      </c>
      <c r="J147" t="e" vm="1">
        <v>#VALUE!</v>
      </c>
      <c r="K147" t="e" cm="1" vm="2">
        <f t="array" aca="1" ref="K147" ca="1">_FV(Table2[[#This Row],[City]],"Country/region",TRUE)</f>
        <v>#VALUE!</v>
      </c>
      <c r="L147">
        <f>Table2[[#This Row],[Quantity2]]*Table2[[#This Row],[Price]]</f>
        <v>2009.8999999999999</v>
      </c>
    </row>
    <row r="148" spans="2:12" x14ac:dyDescent="0.3">
      <c r="B148" s="3">
        <v>10602</v>
      </c>
      <c r="C148" s="4">
        <v>44902</v>
      </c>
      <c r="D148" t="s">
        <v>9</v>
      </c>
      <c r="E148" s="3">
        <v>3.49</v>
      </c>
      <c r="F148" s="3" t="s">
        <v>10</v>
      </c>
      <c r="G148" s="3" t="s">
        <v>37</v>
      </c>
      <c r="H148" t="s">
        <v>38</v>
      </c>
      <c r="I148">
        <v>631</v>
      </c>
      <c r="J148" t="e" vm="1">
        <v>#VALUE!</v>
      </c>
      <c r="K148" t="e" cm="1" vm="2">
        <f t="array" aca="1" ref="K148" ca="1">_FV(Table2[[#This Row],[City]],"Country/region",TRUE)</f>
        <v>#VALUE!</v>
      </c>
      <c r="L148">
        <f>Table2[[#This Row],[Quantity2]]*Table2[[#This Row],[Price]]</f>
        <v>2202.19</v>
      </c>
    </row>
    <row r="149" spans="2:12" x14ac:dyDescent="0.3">
      <c r="B149" s="3">
        <v>10603</v>
      </c>
      <c r="C149" s="4">
        <v>44902</v>
      </c>
      <c r="D149" t="s">
        <v>14</v>
      </c>
      <c r="E149" s="3">
        <v>2.95</v>
      </c>
      <c r="F149" s="3" t="s">
        <v>10</v>
      </c>
      <c r="G149" s="3" t="s">
        <v>37</v>
      </c>
      <c r="H149" t="s">
        <v>38</v>
      </c>
      <c r="I149">
        <v>678</v>
      </c>
      <c r="J149" t="e" vm="1">
        <v>#VALUE!</v>
      </c>
      <c r="K149" t="e" cm="1" vm="2">
        <f t="array" aca="1" ref="K149" ca="1">_FV(Table2[[#This Row],[City]],"Country/region",TRUE)</f>
        <v>#VALUE!</v>
      </c>
      <c r="L149">
        <f>Table2[[#This Row],[Quantity2]]*Table2[[#This Row],[Price]]</f>
        <v>2000.1000000000001</v>
      </c>
    </row>
    <row r="150" spans="2:12" x14ac:dyDescent="0.3">
      <c r="B150" s="3">
        <v>10604</v>
      </c>
      <c r="C150" s="4">
        <v>44902</v>
      </c>
      <c r="D150" t="s">
        <v>17</v>
      </c>
      <c r="E150" s="3">
        <v>4.99</v>
      </c>
      <c r="F150" s="3" t="s">
        <v>10</v>
      </c>
      <c r="G150" s="3" t="s">
        <v>37</v>
      </c>
      <c r="H150" t="s">
        <v>38</v>
      </c>
      <c r="I150">
        <v>201</v>
      </c>
      <c r="J150" t="e" vm="1">
        <v>#VALUE!</v>
      </c>
      <c r="K150" t="e" cm="1" vm="2">
        <f t="array" aca="1" ref="K150" ca="1">_FV(Table2[[#This Row],[City]],"Country/region",TRUE)</f>
        <v>#VALUE!</v>
      </c>
      <c r="L150">
        <f>Table2[[#This Row],[Quantity2]]*Table2[[#This Row],[Price]]</f>
        <v>1002.99</v>
      </c>
    </row>
    <row r="151" spans="2:12" x14ac:dyDescent="0.3">
      <c r="B151" s="3">
        <v>10605</v>
      </c>
      <c r="C151" s="4">
        <v>44903</v>
      </c>
      <c r="D151" t="s">
        <v>21</v>
      </c>
      <c r="E151" s="3">
        <v>12.99</v>
      </c>
      <c r="F151" s="3" t="s">
        <v>10</v>
      </c>
      <c r="G151" s="3" t="s">
        <v>37</v>
      </c>
      <c r="H151" t="s">
        <v>38</v>
      </c>
      <c r="I151">
        <v>539</v>
      </c>
      <c r="J151" t="e" vm="1">
        <v>#VALUE!</v>
      </c>
      <c r="K151" t="e" cm="1" vm="2">
        <f t="array" aca="1" ref="K151" ca="1">_FV(Table2[[#This Row],[City]],"Country/region",TRUE)</f>
        <v>#VALUE!</v>
      </c>
      <c r="L151">
        <f>Table2[[#This Row],[Quantity2]]*Table2[[#This Row],[Price]]</f>
        <v>7001.61</v>
      </c>
    </row>
    <row r="152" spans="2:12" x14ac:dyDescent="0.3">
      <c r="B152" s="3">
        <v>10606</v>
      </c>
      <c r="C152" s="4">
        <v>44903</v>
      </c>
      <c r="D152" t="s">
        <v>25</v>
      </c>
      <c r="E152" s="3">
        <v>9.9499999999999993</v>
      </c>
      <c r="F152" s="3" t="s">
        <v>10</v>
      </c>
      <c r="G152" s="3" t="s">
        <v>37</v>
      </c>
      <c r="H152" t="s">
        <v>38</v>
      </c>
      <c r="I152">
        <v>202</v>
      </c>
      <c r="J152" t="e" vm="1">
        <v>#VALUE!</v>
      </c>
      <c r="K152" t="e" cm="1" vm="2">
        <f t="array" aca="1" ref="K152" ca="1">_FV(Table2[[#This Row],[City]],"Country/region",TRUE)</f>
        <v>#VALUE!</v>
      </c>
      <c r="L152">
        <f>Table2[[#This Row],[Quantity2]]*Table2[[#This Row],[Price]]</f>
        <v>2009.8999999999999</v>
      </c>
    </row>
    <row r="153" spans="2:12" x14ac:dyDescent="0.3">
      <c r="B153" s="3">
        <v>10607</v>
      </c>
      <c r="C153" s="4">
        <v>44903</v>
      </c>
      <c r="D153" t="s">
        <v>9</v>
      </c>
      <c r="E153" s="3">
        <v>3.49</v>
      </c>
      <c r="F153" s="3" t="s">
        <v>10</v>
      </c>
      <c r="G153" s="3" t="s">
        <v>37</v>
      </c>
      <c r="H153" t="s">
        <v>38</v>
      </c>
      <c r="I153">
        <v>631</v>
      </c>
      <c r="J153" t="e" vm="1">
        <v>#VALUE!</v>
      </c>
      <c r="K153" t="e" cm="1" vm="2">
        <f t="array" aca="1" ref="K153" ca="1">_FV(Table2[[#This Row],[City]],"Country/region",TRUE)</f>
        <v>#VALUE!</v>
      </c>
      <c r="L153">
        <f>Table2[[#This Row],[Quantity2]]*Table2[[#This Row],[Price]]</f>
        <v>2202.19</v>
      </c>
    </row>
    <row r="154" spans="2:12" x14ac:dyDescent="0.3">
      <c r="B154" s="3">
        <v>10608</v>
      </c>
      <c r="C154" s="4">
        <v>44903</v>
      </c>
      <c r="D154" t="s">
        <v>14</v>
      </c>
      <c r="E154" s="3">
        <v>2.95</v>
      </c>
      <c r="F154" s="3" t="s">
        <v>10</v>
      </c>
      <c r="G154" s="3" t="s">
        <v>11</v>
      </c>
      <c r="H154" t="s">
        <v>38</v>
      </c>
      <c r="I154">
        <v>678</v>
      </c>
      <c r="J154" t="e" vm="1">
        <v>#VALUE!</v>
      </c>
      <c r="K154" t="e" cm="1" vm="2">
        <f t="array" aca="1" ref="K154" ca="1">_FV(Table2[[#This Row],[City]],"Country/region",TRUE)</f>
        <v>#VALUE!</v>
      </c>
      <c r="L154">
        <f>Table2[[#This Row],[Quantity2]]*Table2[[#This Row],[Price]]</f>
        <v>2000.1000000000001</v>
      </c>
    </row>
    <row r="155" spans="2:12" x14ac:dyDescent="0.3">
      <c r="B155" s="3">
        <v>10609</v>
      </c>
      <c r="C155" s="4">
        <v>44903</v>
      </c>
      <c r="D155" t="s">
        <v>17</v>
      </c>
      <c r="E155" s="3">
        <v>4.99</v>
      </c>
      <c r="F155" s="3" t="s">
        <v>10</v>
      </c>
      <c r="G155" s="3" t="s">
        <v>11</v>
      </c>
      <c r="H155" t="s">
        <v>38</v>
      </c>
      <c r="I155">
        <v>201</v>
      </c>
      <c r="J155" t="e" vm="1">
        <v>#VALUE!</v>
      </c>
      <c r="K155" t="e" cm="1" vm="2">
        <f t="array" aca="1" ref="K155" ca="1">_FV(Table2[[#This Row],[City]],"Country/region",TRUE)</f>
        <v>#VALUE!</v>
      </c>
      <c r="L155">
        <f>Table2[[#This Row],[Quantity2]]*Table2[[#This Row],[Price]]</f>
        <v>1002.99</v>
      </c>
    </row>
    <row r="156" spans="2:12" x14ac:dyDescent="0.3">
      <c r="B156" s="3">
        <v>10610</v>
      </c>
      <c r="C156" s="4">
        <v>44904</v>
      </c>
      <c r="D156" t="s">
        <v>21</v>
      </c>
      <c r="E156" s="3">
        <v>12.99</v>
      </c>
      <c r="F156" s="3" t="s">
        <v>10</v>
      </c>
      <c r="G156" s="3" t="s">
        <v>11</v>
      </c>
      <c r="H156" t="s">
        <v>38</v>
      </c>
      <c r="I156">
        <v>570</v>
      </c>
      <c r="J156" t="e" vm="1">
        <v>#VALUE!</v>
      </c>
      <c r="K156" t="e" cm="1" vm="2">
        <f t="array" aca="1" ref="K156" ca="1">_FV(Table2[[#This Row],[City]],"Country/region",TRUE)</f>
        <v>#VALUE!</v>
      </c>
      <c r="L156">
        <f>Table2[[#This Row],[Quantity2]]*Table2[[#This Row],[Price]]</f>
        <v>7404.3</v>
      </c>
    </row>
    <row r="157" spans="2:12" x14ac:dyDescent="0.3">
      <c r="B157" s="3">
        <v>10611</v>
      </c>
      <c r="C157" s="4">
        <v>44904</v>
      </c>
      <c r="D157" t="s">
        <v>25</v>
      </c>
      <c r="E157" s="3">
        <v>9.9499999999999993</v>
      </c>
      <c r="F157" s="3" t="s">
        <v>10</v>
      </c>
      <c r="G157" s="3" t="s">
        <v>11</v>
      </c>
      <c r="H157" t="s">
        <v>38</v>
      </c>
      <c r="I157">
        <v>202</v>
      </c>
      <c r="J157" t="e" vm="1">
        <v>#VALUE!</v>
      </c>
      <c r="K157" t="e" cm="1" vm="2">
        <f t="array" aca="1" ref="K157" ca="1">_FV(Table2[[#This Row],[City]],"Country/region",TRUE)</f>
        <v>#VALUE!</v>
      </c>
      <c r="L157">
        <f>Table2[[#This Row],[Quantity2]]*Table2[[#This Row],[Price]]</f>
        <v>2009.8999999999999</v>
      </c>
    </row>
    <row r="158" spans="2:12" x14ac:dyDescent="0.3">
      <c r="B158" s="3">
        <v>10612</v>
      </c>
      <c r="C158" s="4">
        <v>44904</v>
      </c>
      <c r="D158" t="s">
        <v>9</v>
      </c>
      <c r="E158" s="3">
        <v>3.49</v>
      </c>
      <c r="F158" s="3" t="s">
        <v>10</v>
      </c>
      <c r="G158" s="3" t="s">
        <v>11</v>
      </c>
      <c r="H158" t="s">
        <v>38</v>
      </c>
      <c r="I158">
        <v>631</v>
      </c>
      <c r="J158" t="e" vm="1">
        <v>#VALUE!</v>
      </c>
      <c r="K158" t="e" cm="1" vm="2">
        <f t="array" aca="1" ref="K158" ca="1">_FV(Table2[[#This Row],[City]],"Country/region",TRUE)</f>
        <v>#VALUE!</v>
      </c>
      <c r="L158">
        <f>Table2[[#This Row],[Quantity2]]*Table2[[#This Row],[Price]]</f>
        <v>2202.19</v>
      </c>
    </row>
    <row r="159" spans="2:12" x14ac:dyDescent="0.3">
      <c r="B159" s="3">
        <v>10613</v>
      </c>
      <c r="C159" s="4">
        <v>44904</v>
      </c>
      <c r="D159" t="s">
        <v>14</v>
      </c>
      <c r="E159" s="3">
        <v>2.95</v>
      </c>
      <c r="F159" s="3" t="s">
        <v>10</v>
      </c>
      <c r="G159" s="3" t="s">
        <v>11</v>
      </c>
      <c r="H159" t="s">
        <v>38</v>
      </c>
      <c r="I159">
        <v>678</v>
      </c>
      <c r="J159" t="e" vm="1">
        <v>#VALUE!</v>
      </c>
      <c r="K159" t="e" cm="1" vm="2">
        <f t="array" aca="1" ref="K159" ca="1">_FV(Table2[[#This Row],[City]],"Country/region",TRUE)</f>
        <v>#VALUE!</v>
      </c>
      <c r="L159">
        <f>Table2[[#This Row],[Quantity2]]*Table2[[#This Row],[Price]]</f>
        <v>2000.1000000000001</v>
      </c>
    </row>
    <row r="160" spans="2:12" x14ac:dyDescent="0.3">
      <c r="B160" s="3">
        <v>10614</v>
      </c>
      <c r="C160" s="4">
        <v>44904</v>
      </c>
      <c r="D160" t="s">
        <v>17</v>
      </c>
      <c r="E160" s="3">
        <v>4.99</v>
      </c>
      <c r="F160" s="3" t="s">
        <v>10</v>
      </c>
      <c r="G160" s="3" t="s">
        <v>11</v>
      </c>
      <c r="H160" t="s">
        <v>38</v>
      </c>
      <c r="I160">
        <v>201</v>
      </c>
      <c r="J160" t="e" vm="1">
        <v>#VALUE!</v>
      </c>
      <c r="K160" t="e" cm="1" vm="2">
        <f t="array" aca="1" ref="K160" ca="1">_FV(Table2[[#This Row],[City]],"Country/region",TRUE)</f>
        <v>#VALUE!</v>
      </c>
      <c r="L160">
        <f>Table2[[#This Row],[Quantity2]]*Table2[[#This Row],[Price]]</f>
        <v>1002.99</v>
      </c>
    </row>
    <row r="161" spans="2:12" x14ac:dyDescent="0.3">
      <c r="B161" s="3">
        <v>10615</v>
      </c>
      <c r="C161" s="4">
        <v>44905</v>
      </c>
      <c r="D161" t="s">
        <v>21</v>
      </c>
      <c r="E161" s="3">
        <v>12.99</v>
      </c>
      <c r="F161" s="3" t="s">
        <v>10</v>
      </c>
      <c r="G161" s="3" t="s">
        <v>11</v>
      </c>
      <c r="H161" t="s">
        <v>38</v>
      </c>
      <c r="I161">
        <v>570</v>
      </c>
      <c r="J161" t="e" vm="1">
        <v>#VALUE!</v>
      </c>
      <c r="K161" t="e" cm="1" vm="2">
        <f t="array" aca="1" ref="K161" ca="1">_FV(Table2[[#This Row],[City]],"Country/region",TRUE)</f>
        <v>#VALUE!</v>
      </c>
      <c r="L161">
        <f>Table2[[#This Row],[Quantity2]]*Table2[[#This Row],[Price]]</f>
        <v>7404.3</v>
      </c>
    </row>
    <row r="162" spans="2:12" x14ac:dyDescent="0.3">
      <c r="B162" s="3">
        <v>10616</v>
      </c>
      <c r="C162" s="4">
        <v>44905</v>
      </c>
      <c r="D162" t="s">
        <v>25</v>
      </c>
      <c r="E162" s="3">
        <v>9.9499999999999993</v>
      </c>
      <c r="F162" s="3" t="s">
        <v>10</v>
      </c>
      <c r="G162" s="3" t="s">
        <v>11</v>
      </c>
      <c r="H162" t="s">
        <v>38</v>
      </c>
      <c r="I162">
        <v>202</v>
      </c>
      <c r="J162" t="e" vm="1">
        <v>#VALUE!</v>
      </c>
      <c r="K162" t="e" cm="1" vm="2">
        <f t="array" aca="1" ref="K162" ca="1">_FV(Table2[[#This Row],[City]],"Country/region",TRUE)</f>
        <v>#VALUE!</v>
      </c>
      <c r="L162">
        <f>Table2[[#This Row],[Quantity2]]*Table2[[#This Row],[Price]]</f>
        <v>2009.8999999999999</v>
      </c>
    </row>
    <row r="163" spans="2:12" x14ac:dyDescent="0.3">
      <c r="B163" s="3">
        <v>10617</v>
      </c>
      <c r="C163" s="4">
        <v>44905</v>
      </c>
      <c r="D163" t="s">
        <v>9</v>
      </c>
      <c r="E163" s="3">
        <v>3.49</v>
      </c>
      <c r="F163" s="3" t="s">
        <v>10</v>
      </c>
      <c r="G163" s="3" t="s">
        <v>11</v>
      </c>
      <c r="H163" t="s">
        <v>38</v>
      </c>
      <c r="I163">
        <v>631</v>
      </c>
      <c r="J163" t="e" vm="1">
        <v>#VALUE!</v>
      </c>
      <c r="K163" t="e" cm="1" vm="2">
        <f t="array" aca="1" ref="K163" ca="1">_FV(Table2[[#This Row],[City]],"Country/region",TRUE)</f>
        <v>#VALUE!</v>
      </c>
      <c r="L163">
        <f>Table2[[#This Row],[Quantity2]]*Table2[[#This Row],[Price]]</f>
        <v>2202.19</v>
      </c>
    </row>
    <row r="164" spans="2:12" x14ac:dyDescent="0.3">
      <c r="B164" s="3">
        <v>10618</v>
      </c>
      <c r="C164" s="4">
        <v>44905</v>
      </c>
      <c r="D164" t="s">
        <v>14</v>
      </c>
      <c r="E164" s="3">
        <v>2.95</v>
      </c>
      <c r="F164" s="3" t="s">
        <v>10</v>
      </c>
      <c r="G164" s="3" t="s">
        <v>11</v>
      </c>
      <c r="H164" t="s">
        <v>38</v>
      </c>
      <c r="I164">
        <v>678</v>
      </c>
      <c r="J164" t="e" vm="1">
        <v>#VALUE!</v>
      </c>
      <c r="K164" t="e" cm="1" vm="2">
        <f t="array" aca="1" ref="K164" ca="1">_FV(Table2[[#This Row],[City]],"Country/region",TRUE)</f>
        <v>#VALUE!</v>
      </c>
      <c r="L164">
        <f>Table2[[#This Row],[Quantity2]]*Table2[[#This Row],[Price]]</f>
        <v>2000.1000000000001</v>
      </c>
    </row>
    <row r="165" spans="2:12" x14ac:dyDescent="0.3">
      <c r="B165" s="3">
        <v>10619</v>
      </c>
      <c r="C165" s="4">
        <v>44905</v>
      </c>
      <c r="D165" t="s">
        <v>17</v>
      </c>
      <c r="E165" s="3">
        <v>4.99</v>
      </c>
      <c r="F165" s="3" t="s">
        <v>10</v>
      </c>
      <c r="G165" s="3" t="s">
        <v>11</v>
      </c>
      <c r="H165" t="s">
        <v>38</v>
      </c>
      <c r="I165">
        <v>201</v>
      </c>
      <c r="J165" t="e" vm="1">
        <v>#VALUE!</v>
      </c>
      <c r="K165" t="e" cm="1" vm="2">
        <f t="array" aca="1" ref="K165" ca="1">_FV(Table2[[#This Row],[City]],"Country/region",TRUE)</f>
        <v>#VALUE!</v>
      </c>
      <c r="L165">
        <f>Table2[[#This Row],[Quantity2]]*Table2[[#This Row],[Price]]</f>
        <v>1002.99</v>
      </c>
    </row>
    <row r="166" spans="2:12" x14ac:dyDescent="0.3">
      <c r="B166" s="3">
        <v>10620</v>
      </c>
      <c r="C166" s="4">
        <v>44906</v>
      </c>
      <c r="D166" t="s">
        <v>21</v>
      </c>
      <c r="E166" s="3">
        <v>12.99</v>
      </c>
      <c r="F166" s="3" t="s">
        <v>10</v>
      </c>
      <c r="G166" s="3" t="s">
        <v>11</v>
      </c>
      <c r="H166" t="s">
        <v>38</v>
      </c>
      <c r="I166">
        <v>586</v>
      </c>
      <c r="J166" t="e" vm="1">
        <v>#VALUE!</v>
      </c>
      <c r="K166" t="e" cm="1" vm="2">
        <f t="array" aca="1" ref="K166" ca="1">_FV(Table2[[#This Row],[City]],"Country/region",TRUE)</f>
        <v>#VALUE!</v>
      </c>
      <c r="L166">
        <f>Table2[[#This Row],[Quantity2]]*Table2[[#This Row],[Price]]</f>
        <v>7612.14</v>
      </c>
    </row>
    <row r="167" spans="2:12" x14ac:dyDescent="0.3">
      <c r="B167" s="3">
        <v>10621</v>
      </c>
      <c r="C167" s="4">
        <v>44906</v>
      </c>
      <c r="D167" t="s">
        <v>25</v>
      </c>
      <c r="E167" s="3">
        <v>9.9499999999999993</v>
      </c>
      <c r="F167" s="3" t="s">
        <v>10</v>
      </c>
      <c r="G167" s="3" t="s">
        <v>11</v>
      </c>
      <c r="H167" t="s">
        <v>38</v>
      </c>
      <c r="I167">
        <v>202</v>
      </c>
      <c r="J167" t="e" vm="1">
        <v>#VALUE!</v>
      </c>
      <c r="K167" t="e" cm="1" vm="2">
        <f t="array" aca="1" ref="K167" ca="1">_FV(Table2[[#This Row],[City]],"Country/region",TRUE)</f>
        <v>#VALUE!</v>
      </c>
      <c r="L167">
        <f>Table2[[#This Row],[Quantity2]]*Table2[[#This Row],[Price]]</f>
        <v>2009.8999999999999</v>
      </c>
    </row>
    <row r="168" spans="2:12" x14ac:dyDescent="0.3">
      <c r="B168" s="3">
        <v>10622</v>
      </c>
      <c r="C168" s="4">
        <v>44906</v>
      </c>
      <c r="D168" t="s">
        <v>9</v>
      </c>
      <c r="E168" s="3">
        <v>3.49</v>
      </c>
      <c r="F168" s="3" t="s">
        <v>10</v>
      </c>
      <c r="G168" s="3" t="s">
        <v>11</v>
      </c>
      <c r="H168" t="s">
        <v>38</v>
      </c>
      <c r="I168">
        <v>631</v>
      </c>
      <c r="J168" t="e" vm="1">
        <v>#VALUE!</v>
      </c>
      <c r="K168" t="e" cm="1" vm="2">
        <f t="array" aca="1" ref="K168" ca="1">_FV(Table2[[#This Row],[City]],"Country/region",TRUE)</f>
        <v>#VALUE!</v>
      </c>
      <c r="L168">
        <f>Table2[[#This Row],[Quantity2]]*Table2[[#This Row],[Price]]</f>
        <v>2202.19</v>
      </c>
    </row>
    <row r="169" spans="2:12" x14ac:dyDescent="0.3">
      <c r="B169" s="3">
        <v>10623</v>
      </c>
      <c r="C169" s="4">
        <v>44906</v>
      </c>
      <c r="D169" t="s">
        <v>14</v>
      </c>
      <c r="E169" s="3">
        <v>2.95</v>
      </c>
      <c r="F169" s="3" t="s">
        <v>10</v>
      </c>
      <c r="G169" s="3" t="s">
        <v>11</v>
      </c>
      <c r="H169" t="s">
        <v>38</v>
      </c>
      <c r="I169">
        <v>746</v>
      </c>
      <c r="J169" t="e" vm="1">
        <v>#VALUE!</v>
      </c>
      <c r="K169" t="e" cm="1" vm="2">
        <f t="array" aca="1" ref="K169" ca="1">_FV(Table2[[#This Row],[City]],"Country/region",TRUE)</f>
        <v>#VALUE!</v>
      </c>
      <c r="L169">
        <f>Table2[[#This Row],[Quantity2]]*Table2[[#This Row],[Price]]</f>
        <v>2200.7000000000003</v>
      </c>
    </row>
    <row r="170" spans="2:12" x14ac:dyDescent="0.3">
      <c r="B170" s="3">
        <v>10624</v>
      </c>
      <c r="C170" s="4">
        <v>44906</v>
      </c>
      <c r="D170" t="s">
        <v>17</v>
      </c>
      <c r="E170" s="3">
        <v>4.99</v>
      </c>
      <c r="F170" s="3" t="s">
        <v>10</v>
      </c>
      <c r="G170" s="3" t="s">
        <v>11</v>
      </c>
      <c r="H170" t="s">
        <v>38</v>
      </c>
      <c r="I170">
        <v>201</v>
      </c>
      <c r="J170" t="e" vm="1">
        <v>#VALUE!</v>
      </c>
      <c r="K170" t="e" cm="1" vm="2">
        <f t="array" aca="1" ref="K170" ca="1">_FV(Table2[[#This Row],[City]],"Country/region",TRUE)</f>
        <v>#VALUE!</v>
      </c>
      <c r="L170">
        <f>Table2[[#This Row],[Quantity2]]*Table2[[#This Row],[Price]]</f>
        <v>1002.99</v>
      </c>
    </row>
    <row r="171" spans="2:12" x14ac:dyDescent="0.3">
      <c r="B171" s="3">
        <v>10625</v>
      </c>
      <c r="C171" s="4">
        <v>44907</v>
      </c>
      <c r="D171" t="s">
        <v>21</v>
      </c>
      <c r="E171" s="3">
        <v>12.99</v>
      </c>
      <c r="F171" s="3" t="s">
        <v>10</v>
      </c>
      <c r="G171" s="3" t="s">
        <v>11</v>
      </c>
      <c r="H171" t="s">
        <v>38</v>
      </c>
      <c r="I171">
        <v>570</v>
      </c>
      <c r="J171" t="e" vm="1">
        <v>#VALUE!</v>
      </c>
      <c r="K171" t="e" cm="1" vm="2">
        <f t="array" aca="1" ref="K171" ca="1">_FV(Table2[[#This Row],[City]],"Country/region",TRUE)</f>
        <v>#VALUE!</v>
      </c>
      <c r="L171">
        <f>Table2[[#This Row],[Quantity2]]*Table2[[#This Row],[Price]]</f>
        <v>7404.3</v>
      </c>
    </row>
    <row r="172" spans="2:12" x14ac:dyDescent="0.3">
      <c r="B172" s="3">
        <v>10626</v>
      </c>
      <c r="C172" s="4">
        <v>44907</v>
      </c>
      <c r="D172" t="s">
        <v>25</v>
      </c>
      <c r="E172" s="3">
        <v>9.9499999999999993</v>
      </c>
      <c r="F172" s="3" t="s">
        <v>10</v>
      </c>
      <c r="G172" s="3" t="s">
        <v>11</v>
      </c>
      <c r="H172" t="s">
        <v>38</v>
      </c>
      <c r="I172">
        <v>202</v>
      </c>
      <c r="J172" t="e" vm="1">
        <v>#VALUE!</v>
      </c>
      <c r="K172" t="e" cm="1" vm="2">
        <f t="array" aca="1" ref="K172" ca="1">_FV(Table2[[#This Row],[City]],"Country/region",TRUE)</f>
        <v>#VALUE!</v>
      </c>
      <c r="L172">
        <f>Table2[[#This Row],[Quantity2]]*Table2[[#This Row],[Price]]</f>
        <v>2009.8999999999999</v>
      </c>
    </row>
    <row r="173" spans="2:12" x14ac:dyDescent="0.3">
      <c r="B173" s="3">
        <v>10627</v>
      </c>
      <c r="C173" s="4">
        <v>44907</v>
      </c>
      <c r="D173" t="s">
        <v>9</v>
      </c>
      <c r="E173" s="3">
        <v>3.49</v>
      </c>
      <c r="F173" s="3" t="s">
        <v>10</v>
      </c>
      <c r="G173" s="3" t="s">
        <v>11</v>
      </c>
      <c r="H173" t="s">
        <v>38</v>
      </c>
      <c r="I173">
        <v>631</v>
      </c>
      <c r="J173" t="e" vm="1">
        <v>#VALUE!</v>
      </c>
      <c r="K173" t="e" cm="1" vm="2">
        <f t="array" aca="1" ref="K173" ca="1">_FV(Table2[[#This Row],[City]],"Country/region",TRUE)</f>
        <v>#VALUE!</v>
      </c>
      <c r="L173">
        <f>Table2[[#This Row],[Quantity2]]*Table2[[#This Row],[Price]]</f>
        <v>2202.19</v>
      </c>
    </row>
    <row r="174" spans="2:12" x14ac:dyDescent="0.3">
      <c r="B174" s="3">
        <v>10628</v>
      </c>
      <c r="C174" s="4">
        <v>44907</v>
      </c>
      <c r="D174" t="s">
        <v>14</v>
      </c>
      <c r="E174" s="3">
        <v>2.95</v>
      </c>
      <c r="F174" s="3" t="s">
        <v>10</v>
      </c>
      <c r="G174" s="3" t="s">
        <v>11</v>
      </c>
      <c r="H174" t="s">
        <v>35</v>
      </c>
      <c r="I174">
        <v>678</v>
      </c>
      <c r="J174" t="e" vm="5">
        <v>#VALUE!</v>
      </c>
      <c r="K174" t="e" cm="1" vm="6">
        <f t="array" aca="1" ref="K174" ca="1">_FV(Table2[[#This Row],[City]],"Country/region",TRUE)</f>
        <v>#VALUE!</v>
      </c>
      <c r="L174">
        <f>Table2[[#This Row],[Quantity2]]*Table2[[#This Row],[Price]]</f>
        <v>2000.1000000000001</v>
      </c>
    </row>
    <row r="175" spans="2:12" x14ac:dyDescent="0.3">
      <c r="B175" s="3">
        <v>10629</v>
      </c>
      <c r="C175" s="4">
        <v>44907</v>
      </c>
      <c r="D175" t="s">
        <v>17</v>
      </c>
      <c r="E175" s="3">
        <v>4.99</v>
      </c>
      <c r="F175" s="3" t="s">
        <v>10</v>
      </c>
      <c r="G175" s="3" t="s">
        <v>11</v>
      </c>
      <c r="H175" t="s">
        <v>35</v>
      </c>
      <c r="I175">
        <v>201</v>
      </c>
      <c r="J175" t="e" vm="5">
        <v>#VALUE!</v>
      </c>
      <c r="K175" t="e" cm="1" vm="6">
        <f t="array" aca="1" ref="K175" ca="1">_FV(Table2[[#This Row],[City]],"Country/region",TRUE)</f>
        <v>#VALUE!</v>
      </c>
      <c r="L175">
        <f>Table2[[#This Row],[Quantity2]]*Table2[[#This Row],[Price]]</f>
        <v>1002.99</v>
      </c>
    </row>
    <row r="176" spans="2:12" x14ac:dyDescent="0.3">
      <c r="B176" s="3">
        <v>10630</v>
      </c>
      <c r="C176" s="4">
        <v>44908</v>
      </c>
      <c r="D176" t="s">
        <v>21</v>
      </c>
      <c r="E176" s="3">
        <v>12.99</v>
      </c>
      <c r="F176" s="3" t="s">
        <v>10</v>
      </c>
      <c r="G176" s="3" t="s">
        <v>37</v>
      </c>
      <c r="H176" t="s">
        <v>35</v>
      </c>
      <c r="I176">
        <v>570</v>
      </c>
      <c r="J176" t="e" vm="5">
        <v>#VALUE!</v>
      </c>
      <c r="K176" t="e" cm="1" vm="6">
        <f t="array" aca="1" ref="K176" ca="1">_FV(Table2[[#This Row],[City]],"Country/region",TRUE)</f>
        <v>#VALUE!</v>
      </c>
      <c r="L176">
        <f>Table2[[#This Row],[Quantity2]]*Table2[[#This Row],[Price]]</f>
        <v>7404.3</v>
      </c>
    </row>
    <row r="177" spans="2:12" x14ac:dyDescent="0.3">
      <c r="B177" s="3">
        <v>10631</v>
      </c>
      <c r="C177" s="4">
        <v>44908</v>
      </c>
      <c r="D177" t="s">
        <v>25</v>
      </c>
      <c r="E177" s="3">
        <v>9.9499999999999993</v>
      </c>
      <c r="F177" s="3" t="s">
        <v>10</v>
      </c>
      <c r="G177" s="3" t="s">
        <v>11</v>
      </c>
      <c r="H177" t="s">
        <v>35</v>
      </c>
      <c r="I177">
        <v>202</v>
      </c>
      <c r="J177" t="e" vm="5">
        <v>#VALUE!</v>
      </c>
      <c r="K177" t="e" cm="1" vm="6">
        <f t="array" aca="1" ref="K177" ca="1">_FV(Table2[[#This Row],[City]],"Country/region",TRUE)</f>
        <v>#VALUE!</v>
      </c>
      <c r="L177">
        <f>Table2[[#This Row],[Quantity2]]*Table2[[#This Row],[Price]]</f>
        <v>2009.8999999999999</v>
      </c>
    </row>
    <row r="178" spans="2:12" x14ac:dyDescent="0.3">
      <c r="B178" s="3">
        <v>10632</v>
      </c>
      <c r="C178" s="4">
        <v>44908</v>
      </c>
      <c r="D178" t="s">
        <v>9</v>
      </c>
      <c r="E178" s="3">
        <v>3.49</v>
      </c>
      <c r="F178" s="3" t="s">
        <v>10</v>
      </c>
      <c r="G178" s="3" t="s">
        <v>11</v>
      </c>
      <c r="H178" t="s">
        <v>35</v>
      </c>
      <c r="I178">
        <v>631</v>
      </c>
      <c r="J178" t="e" vm="5">
        <v>#VALUE!</v>
      </c>
      <c r="K178" t="e" cm="1" vm="6">
        <f t="array" aca="1" ref="K178" ca="1">_FV(Table2[[#This Row],[City]],"Country/region",TRUE)</f>
        <v>#VALUE!</v>
      </c>
      <c r="L178">
        <f>Table2[[#This Row],[Quantity2]]*Table2[[#This Row],[Price]]</f>
        <v>2202.19</v>
      </c>
    </row>
    <row r="179" spans="2:12" x14ac:dyDescent="0.3">
      <c r="B179" s="3">
        <v>10633</v>
      </c>
      <c r="C179" s="4">
        <v>44908</v>
      </c>
      <c r="D179" t="s">
        <v>14</v>
      </c>
      <c r="E179" s="3">
        <v>2.95</v>
      </c>
      <c r="F179" s="3" t="s">
        <v>10</v>
      </c>
      <c r="G179" s="3" t="s">
        <v>11</v>
      </c>
      <c r="H179" t="s">
        <v>35</v>
      </c>
      <c r="I179">
        <v>678</v>
      </c>
      <c r="J179" t="e" vm="5">
        <v>#VALUE!</v>
      </c>
      <c r="K179" t="e" cm="1" vm="6">
        <f t="array" aca="1" ref="K179" ca="1">_FV(Table2[[#This Row],[City]],"Country/region",TRUE)</f>
        <v>#VALUE!</v>
      </c>
      <c r="L179">
        <f>Table2[[#This Row],[Quantity2]]*Table2[[#This Row],[Price]]</f>
        <v>2000.1000000000001</v>
      </c>
    </row>
    <row r="180" spans="2:12" x14ac:dyDescent="0.3">
      <c r="B180" s="3">
        <v>10634</v>
      </c>
      <c r="C180" s="4">
        <v>44908</v>
      </c>
      <c r="D180" t="s">
        <v>17</v>
      </c>
      <c r="E180" s="3">
        <v>4.99</v>
      </c>
      <c r="F180" s="3" t="s">
        <v>10</v>
      </c>
      <c r="G180" s="3" t="s">
        <v>11</v>
      </c>
      <c r="H180" t="s">
        <v>35</v>
      </c>
      <c r="I180">
        <v>201</v>
      </c>
      <c r="J180" t="e" vm="5">
        <v>#VALUE!</v>
      </c>
      <c r="K180" t="e" cm="1" vm="6">
        <f t="array" aca="1" ref="K180" ca="1">_FV(Table2[[#This Row],[City]],"Country/region",TRUE)</f>
        <v>#VALUE!</v>
      </c>
      <c r="L180">
        <f>Table2[[#This Row],[Quantity2]]*Table2[[#This Row],[Price]]</f>
        <v>1002.99</v>
      </c>
    </row>
    <row r="181" spans="2:12" x14ac:dyDescent="0.3">
      <c r="B181" s="3">
        <v>10635</v>
      </c>
      <c r="C181" s="4">
        <v>44909</v>
      </c>
      <c r="D181" t="s">
        <v>21</v>
      </c>
      <c r="E181" s="3">
        <v>12.99</v>
      </c>
      <c r="F181" s="3" t="s">
        <v>10</v>
      </c>
      <c r="G181" s="3" t="s">
        <v>11</v>
      </c>
      <c r="H181" t="s">
        <v>35</v>
      </c>
      <c r="I181">
        <v>555</v>
      </c>
      <c r="J181" t="e" vm="5">
        <v>#VALUE!</v>
      </c>
      <c r="K181" t="e" cm="1" vm="6">
        <f t="array" aca="1" ref="K181" ca="1">_FV(Table2[[#This Row],[City]],"Country/region",TRUE)</f>
        <v>#VALUE!</v>
      </c>
      <c r="L181">
        <f>Table2[[#This Row],[Quantity2]]*Table2[[#This Row],[Price]]</f>
        <v>7209.45</v>
      </c>
    </row>
    <row r="182" spans="2:12" x14ac:dyDescent="0.3">
      <c r="B182" s="3">
        <v>10636</v>
      </c>
      <c r="C182" s="4">
        <v>44909</v>
      </c>
      <c r="D182" t="s">
        <v>25</v>
      </c>
      <c r="E182" s="3">
        <v>9.9499999999999993</v>
      </c>
      <c r="F182" s="3" t="s">
        <v>10</v>
      </c>
      <c r="G182" s="3" t="s">
        <v>11</v>
      </c>
      <c r="H182" t="s">
        <v>35</v>
      </c>
      <c r="I182">
        <v>222</v>
      </c>
      <c r="J182" t="e" vm="5">
        <v>#VALUE!</v>
      </c>
      <c r="K182" t="e" cm="1" vm="6">
        <f t="array" aca="1" ref="K182" ca="1">_FV(Table2[[#This Row],[City]],"Country/region",TRUE)</f>
        <v>#VALUE!</v>
      </c>
      <c r="L182">
        <f>Table2[[#This Row],[Quantity2]]*Table2[[#This Row],[Price]]</f>
        <v>2208.8999999999996</v>
      </c>
    </row>
    <row r="183" spans="2:12" x14ac:dyDescent="0.3">
      <c r="B183" s="3">
        <v>10637</v>
      </c>
      <c r="C183" s="4">
        <v>44909</v>
      </c>
      <c r="D183" t="s">
        <v>9</v>
      </c>
      <c r="E183" s="3">
        <v>3.49</v>
      </c>
      <c r="F183" s="3" t="s">
        <v>10</v>
      </c>
      <c r="G183" s="3" t="s">
        <v>11</v>
      </c>
      <c r="H183" t="s">
        <v>35</v>
      </c>
      <c r="I183">
        <v>631</v>
      </c>
      <c r="J183" t="e" vm="5">
        <v>#VALUE!</v>
      </c>
      <c r="K183" t="e" cm="1" vm="6">
        <f t="array" aca="1" ref="K183" ca="1">_FV(Table2[[#This Row],[City]],"Country/region",TRUE)</f>
        <v>#VALUE!</v>
      </c>
      <c r="L183">
        <f>Table2[[#This Row],[Quantity2]]*Table2[[#This Row],[Price]]</f>
        <v>2202.19</v>
      </c>
    </row>
    <row r="184" spans="2:12" x14ac:dyDescent="0.3">
      <c r="B184" s="3">
        <v>10638</v>
      </c>
      <c r="C184" s="4">
        <v>44909</v>
      </c>
      <c r="D184" t="s">
        <v>14</v>
      </c>
      <c r="E184" s="3">
        <v>2.95</v>
      </c>
      <c r="F184" s="3" t="s">
        <v>10</v>
      </c>
      <c r="G184" s="3" t="s">
        <v>11</v>
      </c>
      <c r="H184" t="s">
        <v>35</v>
      </c>
      <c r="I184">
        <v>678</v>
      </c>
      <c r="J184" t="e" vm="5">
        <v>#VALUE!</v>
      </c>
      <c r="K184" t="e" cm="1" vm="6">
        <f t="array" aca="1" ref="K184" ca="1">_FV(Table2[[#This Row],[City]],"Country/region",TRUE)</f>
        <v>#VALUE!</v>
      </c>
      <c r="L184">
        <f>Table2[[#This Row],[Quantity2]]*Table2[[#This Row],[Price]]</f>
        <v>2000.1000000000001</v>
      </c>
    </row>
    <row r="185" spans="2:12" x14ac:dyDescent="0.3">
      <c r="B185" s="3">
        <v>10639</v>
      </c>
      <c r="C185" s="4">
        <v>44909</v>
      </c>
      <c r="D185" t="s">
        <v>17</v>
      </c>
      <c r="E185" s="3">
        <v>4.99</v>
      </c>
      <c r="F185" s="3" t="s">
        <v>10</v>
      </c>
      <c r="G185" s="3" t="s">
        <v>11</v>
      </c>
      <c r="H185" t="s">
        <v>35</v>
      </c>
      <c r="I185">
        <v>201</v>
      </c>
      <c r="J185" t="e" vm="5">
        <v>#VALUE!</v>
      </c>
      <c r="K185" t="e" cm="1" vm="6">
        <f t="array" aca="1" ref="K185" ca="1">_FV(Table2[[#This Row],[City]],"Country/region",TRUE)</f>
        <v>#VALUE!</v>
      </c>
      <c r="L185">
        <f>Table2[[#This Row],[Quantity2]]*Table2[[#This Row],[Price]]</f>
        <v>1002.99</v>
      </c>
    </row>
    <row r="186" spans="2:12" x14ac:dyDescent="0.3">
      <c r="B186" s="3">
        <v>10640</v>
      </c>
      <c r="C186" s="4">
        <v>44910</v>
      </c>
      <c r="D186" t="s">
        <v>21</v>
      </c>
      <c r="E186" s="3">
        <v>12.99</v>
      </c>
      <c r="F186" s="3" t="s">
        <v>10</v>
      </c>
      <c r="G186" s="3" t="s">
        <v>11</v>
      </c>
      <c r="H186" t="s">
        <v>35</v>
      </c>
      <c r="I186">
        <v>539</v>
      </c>
      <c r="J186" t="e" vm="5">
        <v>#VALUE!</v>
      </c>
      <c r="K186" t="e" cm="1" vm="6">
        <f t="array" aca="1" ref="K186" ca="1">_FV(Table2[[#This Row],[City]],"Country/region",TRUE)</f>
        <v>#VALUE!</v>
      </c>
      <c r="L186">
        <f>Table2[[#This Row],[Quantity2]]*Table2[[#This Row],[Price]]</f>
        <v>7001.61</v>
      </c>
    </row>
    <row r="187" spans="2:12" x14ac:dyDescent="0.3">
      <c r="B187" s="3">
        <v>10641</v>
      </c>
      <c r="C187" s="4">
        <v>44910</v>
      </c>
      <c r="D187" t="s">
        <v>25</v>
      </c>
      <c r="E187" s="3">
        <v>9.9499999999999993</v>
      </c>
      <c r="F187" s="3" t="s">
        <v>10</v>
      </c>
      <c r="G187" s="3" t="s">
        <v>11</v>
      </c>
      <c r="H187" t="s">
        <v>35</v>
      </c>
      <c r="I187">
        <v>222</v>
      </c>
      <c r="J187" t="e" vm="5">
        <v>#VALUE!</v>
      </c>
      <c r="K187" t="e" cm="1" vm="6">
        <f t="array" aca="1" ref="K187" ca="1">_FV(Table2[[#This Row],[City]],"Country/region",TRUE)</f>
        <v>#VALUE!</v>
      </c>
      <c r="L187">
        <f>Table2[[#This Row],[Quantity2]]*Table2[[#This Row],[Price]]</f>
        <v>2208.8999999999996</v>
      </c>
    </row>
    <row r="188" spans="2:12" x14ac:dyDescent="0.3">
      <c r="B188" s="3">
        <v>10642</v>
      </c>
      <c r="C188" s="4">
        <v>44910</v>
      </c>
      <c r="D188" t="s">
        <v>9</v>
      </c>
      <c r="E188" s="3">
        <v>3.49</v>
      </c>
      <c r="F188" s="3" t="s">
        <v>10</v>
      </c>
      <c r="G188" s="3" t="s">
        <v>37</v>
      </c>
      <c r="H188" t="s">
        <v>35</v>
      </c>
      <c r="I188">
        <v>631</v>
      </c>
      <c r="J188" t="e" vm="5">
        <v>#VALUE!</v>
      </c>
      <c r="K188" t="e" cm="1" vm="6">
        <f t="array" aca="1" ref="K188" ca="1">_FV(Table2[[#This Row],[City]],"Country/region",TRUE)</f>
        <v>#VALUE!</v>
      </c>
      <c r="L188">
        <f>Table2[[#This Row],[Quantity2]]*Table2[[#This Row],[Price]]</f>
        <v>2202.19</v>
      </c>
    </row>
    <row r="189" spans="2:12" x14ac:dyDescent="0.3">
      <c r="B189" s="3">
        <v>10643</v>
      </c>
      <c r="C189" s="4">
        <v>44910</v>
      </c>
      <c r="D189" t="s">
        <v>14</v>
      </c>
      <c r="E189" s="3">
        <v>2.95</v>
      </c>
      <c r="F189" s="3" t="s">
        <v>10</v>
      </c>
      <c r="G189" s="3" t="s">
        <v>37</v>
      </c>
      <c r="H189" t="s">
        <v>35</v>
      </c>
      <c r="I189">
        <v>678</v>
      </c>
      <c r="J189" t="e" vm="5">
        <v>#VALUE!</v>
      </c>
      <c r="K189" t="e" cm="1" vm="6">
        <f t="array" aca="1" ref="K189" ca="1">_FV(Table2[[#This Row],[City]],"Country/region",TRUE)</f>
        <v>#VALUE!</v>
      </c>
      <c r="L189">
        <f>Table2[[#This Row],[Quantity2]]*Table2[[#This Row],[Price]]</f>
        <v>2000.1000000000001</v>
      </c>
    </row>
    <row r="190" spans="2:12" x14ac:dyDescent="0.3">
      <c r="B190" s="3">
        <v>10644</v>
      </c>
      <c r="C190" s="4">
        <v>44910</v>
      </c>
      <c r="D190" t="s">
        <v>17</v>
      </c>
      <c r="E190" s="3">
        <v>4.99</v>
      </c>
      <c r="F190" s="3" t="s">
        <v>10</v>
      </c>
      <c r="G190" s="3" t="s">
        <v>37</v>
      </c>
      <c r="H190" t="s">
        <v>35</v>
      </c>
      <c r="I190">
        <v>201</v>
      </c>
      <c r="J190" t="e" vm="5">
        <v>#VALUE!</v>
      </c>
      <c r="K190" t="e" cm="1" vm="6">
        <f t="array" aca="1" ref="K190" ca="1">_FV(Table2[[#This Row],[City]],"Country/region",TRUE)</f>
        <v>#VALUE!</v>
      </c>
      <c r="L190">
        <f>Table2[[#This Row],[Quantity2]]*Table2[[#This Row],[Price]]</f>
        <v>1002.99</v>
      </c>
    </row>
    <row r="191" spans="2:12" x14ac:dyDescent="0.3">
      <c r="B191" s="3">
        <v>10645</v>
      </c>
      <c r="C191" s="4">
        <v>44911</v>
      </c>
      <c r="D191" t="s">
        <v>21</v>
      </c>
      <c r="E191" s="3">
        <v>12.99</v>
      </c>
      <c r="F191" s="3" t="s">
        <v>10</v>
      </c>
      <c r="G191" s="3" t="s">
        <v>37</v>
      </c>
      <c r="H191" t="s">
        <v>35</v>
      </c>
      <c r="I191">
        <v>570</v>
      </c>
      <c r="J191" t="e" vm="5">
        <v>#VALUE!</v>
      </c>
      <c r="K191" t="e" cm="1" vm="6">
        <f t="array" aca="1" ref="K191" ca="1">_FV(Table2[[#This Row],[City]],"Country/region",TRUE)</f>
        <v>#VALUE!</v>
      </c>
      <c r="L191">
        <f>Table2[[#This Row],[Quantity2]]*Table2[[#This Row],[Price]]</f>
        <v>7404.3</v>
      </c>
    </row>
    <row r="192" spans="2:12" x14ac:dyDescent="0.3">
      <c r="B192" s="3">
        <v>10646</v>
      </c>
      <c r="C192" s="4">
        <v>44911</v>
      </c>
      <c r="D192" t="s">
        <v>25</v>
      </c>
      <c r="E192" s="3">
        <v>9.9499999999999993</v>
      </c>
      <c r="F192" s="3" t="s">
        <v>10</v>
      </c>
      <c r="G192" s="3" t="s">
        <v>37</v>
      </c>
      <c r="H192" t="s">
        <v>35</v>
      </c>
      <c r="I192">
        <v>222</v>
      </c>
      <c r="J192" t="e" vm="5">
        <v>#VALUE!</v>
      </c>
      <c r="K192" t="e" cm="1" vm="6">
        <f t="array" aca="1" ref="K192" ca="1">_FV(Table2[[#This Row],[City]],"Country/region",TRUE)</f>
        <v>#VALUE!</v>
      </c>
      <c r="L192">
        <f>Table2[[#This Row],[Quantity2]]*Table2[[#This Row],[Price]]</f>
        <v>2208.8999999999996</v>
      </c>
    </row>
    <row r="193" spans="2:12" x14ac:dyDescent="0.3">
      <c r="B193" s="3">
        <v>10647</v>
      </c>
      <c r="C193" s="4">
        <v>44911</v>
      </c>
      <c r="D193" t="s">
        <v>9</v>
      </c>
      <c r="E193" s="3">
        <v>3.49</v>
      </c>
      <c r="F193" s="3" t="s">
        <v>10</v>
      </c>
      <c r="G193" s="3" t="s">
        <v>11</v>
      </c>
      <c r="H193" t="s">
        <v>35</v>
      </c>
      <c r="I193">
        <v>631</v>
      </c>
      <c r="J193" t="e" vm="5">
        <v>#VALUE!</v>
      </c>
      <c r="K193" t="e" cm="1" vm="6">
        <f t="array" aca="1" ref="K193" ca="1">_FV(Table2[[#This Row],[City]],"Country/region",TRUE)</f>
        <v>#VALUE!</v>
      </c>
      <c r="L193">
        <f>Table2[[#This Row],[Quantity2]]*Table2[[#This Row],[Price]]</f>
        <v>2202.19</v>
      </c>
    </row>
    <row r="194" spans="2:12" x14ac:dyDescent="0.3">
      <c r="B194" s="3">
        <v>10648</v>
      </c>
      <c r="C194" s="4">
        <v>44911</v>
      </c>
      <c r="D194" t="s">
        <v>14</v>
      </c>
      <c r="E194" s="3">
        <v>2.95</v>
      </c>
      <c r="F194" s="3" t="s">
        <v>10</v>
      </c>
      <c r="G194" s="3" t="s">
        <v>11</v>
      </c>
      <c r="H194" t="s">
        <v>35</v>
      </c>
      <c r="I194">
        <v>746</v>
      </c>
      <c r="J194" t="e" vm="5">
        <v>#VALUE!</v>
      </c>
      <c r="K194" t="e" cm="1" vm="6">
        <f t="array" aca="1" ref="K194" ca="1">_FV(Table2[[#This Row],[City]],"Country/region",TRUE)</f>
        <v>#VALUE!</v>
      </c>
      <c r="L194">
        <f>Table2[[#This Row],[Quantity2]]*Table2[[#This Row],[Price]]</f>
        <v>2200.7000000000003</v>
      </c>
    </row>
    <row r="195" spans="2:12" x14ac:dyDescent="0.3">
      <c r="B195" s="3">
        <v>10649</v>
      </c>
      <c r="C195" s="4">
        <v>44911</v>
      </c>
      <c r="D195" t="s">
        <v>17</v>
      </c>
      <c r="E195" s="3">
        <v>4.99</v>
      </c>
      <c r="F195" s="3" t="s">
        <v>10</v>
      </c>
      <c r="G195" s="3" t="s">
        <v>11</v>
      </c>
      <c r="H195" t="s">
        <v>35</v>
      </c>
      <c r="I195">
        <v>201</v>
      </c>
      <c r="J195" t="e" vm="5">
        <v>#VALUE!</v>
      </c>
      <c r="K195" t="e" cm="1" vm="6">
        <f t="array" aca="1" ref="K195" ca="1">_FV(Table2[[#This Row],[City]],"Country/region",TRUE)</f>
        <v>#VALUE!</v>
      </c>
      <c r="L195">
        <f>Table2[[#This Row],[Quantity2]]*Table2[[#This Row],[Price]]</f>
        <v>1002.99</v>
      </c>
    </row>
    <row r="196" spans="2:12" x14ac:dyDescent="0.3">
      <c r="B196" s="3">
        <v>10650</v>
      </c>
      <c r="C196" s="4">
        <v>44912</v>
      </c>
      <c r="D196" t="s">
        <v>21</v>
      </c>
      <c r="E196" s="3">
        <v>12.99</v>
      </c>
      <c r="F196" s="3" t="s">
        <v>10</v>
      </c>
      <c r="G196" s="3" t="s">
        <v>11</v>
      </c>
      <c r="H196" t="s">
        <v>35</v>
      </c>
      <c r="I196">
        <v>586</v>
      </c>
      <c r="J196" t="e" vm="5">
        <v>#VALUE!</v>
      </c>
      <c r="K196" t="e" cm="1" vm="6">
        <f t="array" aca="1" ref="K196" ca="1">_FV(Table2[[#This Row],[City]],"Country/region",TRUE)</f>
        <v>#VALUE!</v>
      </c>
      <c r="L196">
        <f>Table2[[#This Row],[Quantity2]]*Table2[[#This Row],[Price]]</f>
        <v>7612.14</v>
      </c>
    </row>
    <row r="197" spans="2:12" x14ac:dyDescent="0.3">
      <c r="B197" s="3">
        <v>10651</v>
      </c>
      <c r="C197" s="4">
        <v>44912</v>
      </c>
      <c r="D197" t="s">
        <v>25</v>
      </c>
      <c r="E197" s="3">
        <v>9.9499999999999993</v>
      </c>
      <c r="F197" s="3" t="s">
        <v>10</v>
      </c>
      <c r="G197" s="3" t="s">
        <v>11</v>
      </c>
      <c r="H197" t="s">
        <v>35</v>
      </c>
      <c r="I197">
        <v>222</v>
      </c>
      <c r="J197" t="e" vm="5">
        <v>#VALUE!</v>
      </c>
      <c r="K197" t="e" cm="1" vm="6">
        <f t="array" aca="1" ref="K197" ca="1">_FV(Table2[[#This Row],[City]],"Country/region",TRUE)</f>
        <v>#VALUE!</v>
      </c>
      <c r="L197">
        <f>Table2[[#This Row],[Quantity2]]*Table2[[#This Row],[Price]]</f>
        <v>2208.8999999999996</v>
      </c>
    </row>
    <row r="198" spans="2:12" x14ac:dyDescent="0.3">
      <c r="B198" s="3">
        <v>10652</v>
      </c>
      <c r="C198" s="4">
        <v>44912</v>
      </c>
      <c r="D198" t="s">
        <v>9</v>
      </c>
      <c r="E198" s="3">
        <v>3.49</v>
      </c>
      <c r="F198" s="3" t="s">
        <v>10</v>
      </c>
      <c r="G198" s="3" t="s">
        <v>11</v>
      </c>
      <c r="H198" t="s">
        <v>35</v>
      </c>
      <c r="I198">
        <v>688</v>
      </c>
      <c r="J198" t="e" vm="5">
        <v>#VALUE!</v>
      </c>
      <c r="K198" t="e" cm="1" vm="6">
        <f t="array" aca="1" ref="K198" ca="1">_FV(Table2[[#This Row],[City]],"Country/region",TRUE)</f>
        <v>#VALUE!</v>
      </c>
      <c r="L198">
        <f>Table2[[#This Row],[Quantity2]]*Table2[[#This Row],[Price]]</f>
        <v>2401.1200000000003</v>
      </c>
    </row>
    <row r="199" spans="2:12" x14ac:dyDescent="0.3">
      <c r="B199" s="3">
        <v>10653</v>
      </c>
      <c r="C199" s="4">
        <v>44912</v>
      </c>
      <c r="D199" t="s">
        <v>14</v>
      </c>
      <c r="E199" s="3">
        <v>2.95</v>
      </c>
      <c r="F199" s="3" t="s">
        <v>10</v>
      </c>
      <c r="G199" s="3" t="s">
        <v>11</v>
      </c>
      <c r="H199" t="s">
        <v>35</v>
      </c>
      <c r="I199">
        <v>746</v>
      </c>
      <c r="J199" t="e" vm="5">
        <v>#VALUE!</v>
      </c>
      <c r="K199" t="e" cm="1" vm="6">
        <f t="array" aca="1" ref="K199" ca="1">_FV(Table2[[#This Row],[City]],"Country/region",TRUE)</f>
        <v>#VALUE!</v>
      </c>
      <c r="L199">
        <f>Table2[[#This Row],[Quantity2]]*Table2[[#This Row],[Price]]</f>
        <v>2200.7000000000003</v>
      </c>
    </row>
    <row r="200" spans="2:12" x14ac:dyDescent="0.3">
      <c r="B200" s="3">
        <v>10654</v>
      </c>
      <c r="C200" s="4">
        <v>44912</v>
      </c>
      <c r="D200" t="s">
        <v>17</v>
      </c>
      <c r="E200" s="3">
        <v>4.99</v>
      </c>
      <c r="F200" s="3" t="s">
        <v>10</v>
      </c>
      <c r="G200" s="3" t="s">
        <v>11</v>
      </c>
      <c r="H200" t="s">
        <v>35</v>
      </c>
      <c r="I200">
        <v>201</v>
      </c>
      <c r="J200" t="e" vm="5">
        <v>#VALUE!</v>
      </c>
      <c r="K200" t="e" cm="1" vm="6">
        <f t="array" aca="1" ref="K200" ca="1">_FV(Table2[[#This Row],[City]],"Country/region",TRUE)</f>
        <v>#VALUE!</v>
      </c>
      <c r="L200">
        <f>Table2[[#This Row],[Quantity2]]*Table2[[#This Row],[Price]]</f>
        <v>1002.99</v>
      </c>
    </row>
    <row r="201" spans="2:12" x14ac:dyDescent="0.3">
      <c r="B201" s="3">
        <v>10655</v>
      </c>
      <c r="C201" s="4">
        <v>44913</v>
      </c>
      <c r="D201" t="s">
        <v>21</v>
      </c>
      <c r="E201" s="3">
        <v>12.99</v>
      </c>
      <c r="F201" s="3" t="s">
        <v>10</v>
      </c>
      <c r="G201" s="3" t="s">
        <v>11</v>
      </c>
      <c r="H201" t="s">
        <v>35</v>
      </c>
      <c r="I201">
        <v>601</v>
      </c>
      <c r="J201" t="e" vm="5">
        <v>#VALUE!</v>
      </c>
      <c r="K201" t="e" cm="1" vm="6">
        <f t="array" aca="1" ref="K201" ca="1">_FV(Table2[[#This Row],[City]],"Country/region",TRUE)</f>
        <v>#VALUE!</v>
      </c>
      <c r="L201">
        <f>Table2[[#This Row],[Quantity2]]*Table2[[#This Row],[Price]]</f>
        <v>7806.99</v>
      </c>
    </row>
    <row r="202" spans="2:12" x14ac:dyDescent="0.3">
      <c r="B202" s="3">
        <v>10656</v>
      </c>
      <c r="C202" s="4">
        <v>44913</v>
      </c>
      <c r="D202" t="s">
        <v>25</v>
      </c>
      <c r="E202" s="3">
        <v>9.9499999999999993</v>
      </c>
      <c r="F202" s="3" t="s">
        <v>10</v>
      </c>
      <c r="G202" s="3" t="s">
        <v>11</v>
      </c>
      <c r="H202" t="s">
        <v>35</v>
      </c>
      <c r="I202">
        <v>222</v>
      </c>
      <c r="J202" t="e" vm="5">
        <v>#VALUE!</v>
      </c>
      <c r="K202" t="e" cm="1" vm="6">
        <f t="array" aca="1" ref="K202" ca="1">_FV(Table2[[#This Row],[City]],"Country/region",TRUE)</f>
        <v>#VALUE!</v>
      </c>
      <c r="L202">
        <f>Table2[[#This Row],[Quantity2]]*Table2[[#This Row],[Price]]</f>
        <v>2208.8999999999996</v>
      </c>
    </row>
    <row r="203" spans="2:12" x14ac:dyDescent="0.3">
      <c r="B203" s="3">
        <v>10657</v>
      </c>
      <c r="C203" s="4">
        <v>44913</v>
      </c>
      <c r="D203" t="s">
        <v>9</v>
      </c>
      <c r="E203" s="3">
        <v>3.49</v>
      </c>
      <c r="F203" s="3" t="s">
        <v>10</v>
      </c>
      <c r="G203" s="3" t="s">
        <v>11</v>
      </c>
      <c r="H203" t="s">
        <v>35</v>
      </c>
      <c r="I203">
        <v>688</v>
      </c>
      <c r="J203" t="e" vm="5">
        <v>#VALUE!</v>
      </c>
      <c r="K203" t="e" cm="1" vm="6">
        <f t="array" aca="1" ref="K203" ca="1">_FV(Table2[[#This Row],[City]],"Country/region",TRUE)</f>
        <v>#VALUE!</v>
      </c>
      <c r="L203">
        <f>Table2[[#This Row],[Quantity2]]*Table2[[#This Row],[Price]]</f>
        <v>2401.1200000000003</v>
      </c>
    </row>
    <row r="204" spans="2:12" x14ac:dyDescent="0.3">
      <c r="B204" s="3">
        <v>10658</v>
      </c>
      <c r="C204" s="4">
        <v>44913</v>
      </c>
      <c r="D204" t="s">
        <v>14</v>
      </c>
      <c r="E204" s="3">
        <v>2.95</v>
      </c>
      <c r="F204" s="3" t="s">
        <v>10</v>
      </c>
      <c r="G204" s="3" t="s">
        <v>37</v>
      </c>
      <c r="H204" t="s">
        <v>35</v>
      </c>
      <c r="I204">
        <v>746</v>
      </c>
      <c r="J204" t="e" vm="5">
        <v>#VALUE!</v>
      </c>
      <c r="K204" t="e" cm="1" vm="6">
        <f t="array" aca="1" ref="K204" ca="1">_FV(Table2[[#This Row],[City]],"Country/region",TRUE)</f>
        <v>#VALUE!</v>
      </c>
      <c r="L204">
        <f>Table2[[#This Row],[Quantity2]]*Table2[[#This Row],[Price]]</f>
        <v>2200.7000000000003</v>
      </c>
    </row>
    <row r="205" spans="2:12" x14ac:dyDescent="0.3">
      <c r="B205" s="3">
        <v>10659</v>
      </c>
      <c r="C205" s="4">
        <v>44913</v>
      </c>
      <c r="D205" t="s">
        <v>17</v>
      </c>
      <c r="E205" s="3">
        <v>4.99</v>
      </c>
      <c r="F205" s="3" t="s">
        <v>10</v>
      </c>
      <c r="G205" s="3" t="s">
        <v>37</v>
      </c>
      <c r="H205" t="s">
        <v>35</v>
      </c>
      <c r="I205">
        <v>201</v>
      </c>
      <c r="J205" t="e" vm="5">
        <v>#VALUE!</v>
      </c>
      <c r="K205" t="e" cm="1" vm="6">
        <f t="array" aca="1" ref="K205" ca="1">_FV(Table2[[#This Row],[City]],"Country/region",TRUE)</f>
        <v>#VALUE!</v>
      </c>
      <c r="L205">
        <f>Table2[[#This Row],[Quantity2]]*Table2[[#This Row],[Price]]</f>
        <v>1002.99</v>
      </c>
    </row>
    <row r="206" spans="2:12" x14ac:dyDescent="0.3">
      <c r="B206" s="3">
        <v>10660</v>
      </c>
      <c r="C206" s="4">
        <v>44914</v>
      </c>
      <c r="D206" t="s">
        <v>21</v>
      </c>
      <c r="E206" s="3">
        <v>12.99</v>
      </c>
      <c r="F206" s="3" t="s">
        <v>18</v>
      </c>
      <c r="G206" s="3" t="s">
        <v>37</v>
      </c>
      <c r="H206" t="s">
        <v>35</v>
      </c>
      <c r="I206">
        <v>632</v>
      </c>
      <c r="J206" t="e" vm="5">
        <v>#VALUE!</v>
      </c>
      <c r="K206" t="e" cm="1" vm="6">
        <f t="array" aca="1" ref="K206" ca="1">_FV(Table2[[#This Row],[City]],"Country/region",TRUE)</f>
        <v>#VALUE!</v>
      </c>
      <c r="L206">
        <f>Table2[[#This Row],[Quantity2]]*Table2[[#This Row],[Price]]</f>
        <v>8209.68</v>
      </c>
    </row>
    <row r="207" spans="2:12" x14ac:dyDescent="0.3">
      <c r="B207" s="3">
        <v>10661</v>
      </c>
      <c r="C207" s="4">
        <v>44914</v>
      </c>
      <c r="D207" t="s">
        <v>25</v>
      </c>
      <c r="E207" s="3">
        <v>9.9499999999999993</v>
      </c>
      <c r="F207" s="3" t="s">
        <v>18</v>
      </c>
      <c r="G207" s="3" t="s">
        <v>37</v>
      </c>
      <c r="H207" t="s">
        <v>35</v>
      </c>
      <c r="I207">
        <v>222</v>
      </c>
      <c r="J207" t="e" vm="5">
        <v>#VALUE!</v>
      </c>
      <c r="K207" t="e" cm="1" vm="6">
        <f t="array" aca="1" ref="K207" ca="1">_FV(Table2[[#This Row],[City]],"Country/region",TRUE)</f>
        <v>#VALUE!</v>
      </c>
      <c r="L207">
        <f>Table2[[#This Row],[Quantity2]]*Table2[[#This Row],[Price]]</f>
        <v>2208.8999999999996</v>
      </c>
    </row>
    <row r="208" spans="2:12" x14ac:dyDescent="0.3">
      <c r="B208" s="3">
        <v>10662</v>
      </c>
      <c r="C208" s="4">
        <v>44914</v>
      </c>
      <c r="D208" t="s">
        <v>9</v>
      </c>
      <c r="E208" s="3">
        <v>3.49</v>
      </c>
      <c r="F208" s="3" t="s">
        <v>18</v>
      </c>
      <c r="G208" s="3" t="s">
        <v>37</v>
      </c>
      <c r="H208" t="s">
        <v>35</v>
      </c>
      <c r="I208">
        <v>631</v>
      </c>
      <c r="J208" t="e" vm="5">
        <v>#VALUE!</v>
      </c>
      <c r="K208" t="e" cm="1" vm="6">
        <f t="array" aca="1" ref="K208" ca="1">_FV(Table2[[#This Row],[City]],"Country/region",TRUE)</f>
        <v>#VALUE!</v>
      </c>
      <c r="L208">
        <f>Table2[[#This Row],[Quantity2]]*Table2[[#This Row],[Price]]</f>
        <v>2202.19</v>
      </c>
    </row>
    <row r="209" spans="2:12" x14ac:dyDescent="0.3">
      <c r="B209" s="3">
        <v>10663</v>
      </c>
      <c r="C209" s="4">
        <v>44914</v>
      </c>
      <c r="D209" t="s">
        <v>14</v>
      </c>
      <c r="E209" s="3">
        <v>2.95</v>
      </c>
      <c r="F209" s="3" t="s">
        <v>18</v>
      </c>
      <c r="G209" s="3" t="s">
        <v>37</v>
      </c>
      <c r="H209" t="s">
        <v>35</v>
      </c>
      <c r="I209">
        <v>746</v>
      </c>
      <c r="J209" t="e" vm="5">
        <v>#VALUE!</v>
      </c>
      <c r="K209" t="e" cm="1" vm="6">
        <f t="array" aca="1" ref="K209" ca="1">_FV(Table2[[#This Row],[City]],"Country/region",TRUE)</f>
        <v>#VALUE!</v>
      </c>
      <c r="L209">
        <f>Table2[[#This Row],[Quantity2]]*Table2[[#This Row],[Price]]</f>
        <v>2200.7000000000003</v>
      </c>
    </row>
    <row r="210" spans="2:12" x14ac:dyDescent="0.3">
      <c r="B210" s="3">
        <v>10664</v>
      </c>
      <c r="C210" s="4">
        <v>44914</v>
      </c>
      <c r="D210" t="s">
        <v>17</v>
      </c>
      <c r="E210" s="3">
        <v>4.99</v>
      </c>
      <c r="F210" s="3" t="s">
        <v>18</v>
      </c>
      <c r="G210" s="3" t="s">
        <v>37</v>
      </c>
      <c r="H210" t="s">
        <v>35</v>
      </c>
      <c r="I210">
        <v>201</v>
      </c>
      <c r="J210" t="e" vm="5">
        <v>#VALUE!</v>
      </c>
      <c r="K210" t="e" cm="1" vm="6">
        <f t="array" aca="1" ref="K210" ca="1">_FV(Table2[[#This Row],[City]],"Country/region",TRUE)</f>
        <v>#VALUE!</v>
      </c>
      <c r="L210">
        <f>Table2[[#This Row],[Quantity2]]*Table2[[#This Row],[Price]]</f>
        <v>1002.99</v>
      </c>
    </row>
    <row r="211" spans="2:12" x14ac:dyDescent="0.3">
      <c r="B211" s="3">
        <v>10665</v>
      </c>
      <c r="C211" s="4">
        <v>44915</v>
      </c>
      <c r="D211" t="s">
        <v>21</v>
      </c>
      <c r="E211" s="3">
        <v>12.99</v>
      </c>
      <c r="F211" s="3" t="s">
        <v>18</v>
      </c>
      <c r="G211" s="3" t="s">
        <v>37</v>
      </c>
      <c r="H211" t="s">
        <v>35</v>
      </c>
      <c r="I211">
        <v>647</v>
      </c>
      <c r="J211" t="e" vm="5">
        <v>#VALUE!</v>
      </c>
      <c r="K211" t="e" cm="1" vm="6">
        <f t="array" aca="1" ref="K211" ca="1">_FV(Table2[[#This Row],[City]],"Country/region",TRUE)</f>
        <v>#VALUE!</v>
      </c>
      <c r="L211">
        <f>Table2[[#This Row],[Quantity2]]*Table2[[#This Row],[Price]]</f>
        <v>8404.5300000000007</v>
      </c>
    </row>
    <row r="212" spans="2:12" x14ac:dyDescent="0.3">
      <c r="B212" s="3">
        <v>10666</v>
      </c>
      <c r="C212" s="4">
        <v>44915</v>
      </c>
      <c r="D212" t="s">
        <v>25</v>
      </c>
      <c r="E212" s="3">
        <v>9.9499999999999993</v>
      </c>
      <c r="F212" s="3" t="s">
        <v>18</v>
      </c>
      <c r="G212" s="3" t="s">
        <v>37</v>
      </c>
      <c r="H212" t="s">
        <v>35</v>
      </c>
      <c r="I212">
        <v>222</v>
      </c>
      <c r="J212" t="e" vm="5">
        <v>#VALUE!</v>
      </c>
      <c r="K212" t="e" cm="1" vm="6">
        <f t="array" aca="1" ref="K212" ca="1">_FV(Table2[[#This Row],[City]],"Country/region",TRUE)</f>
        <v>#VALUE!</v>
      </c>
      <c r="L212">
        <f>Table2[[#This Row],[Quantity2]]*Table2[[#This Row],[Price]]</f>
        <v>2208.8999999999996</v>
      </c>
    </row>
    <row r="213" spans="2:12" x14ac:dyDescent="0.3">
      <c r="B213" s="3">
        <v>10667</v>
      </c>
      <c r="C213" s="4">
        <v>44915</v>
      </c>
      <c r="D213" t="s">
        <v>9</v>
      </c>
      <c r="E213" s="3">
        <v>3.49</v>
      </c>
      <c r="F213" s="3" t="s">
        <v>18</v>
      </c>
      <c r="G213" s="3" t="s">
        <v>37</v>
      </c>
      <c r="H213" t="s">
        <v>35</v>
      </c>
      <c r="I213">
        <v>631</v>
      </c>
      <c r="J213" t="e" vm="5">
        <v>#VALUE!</v>
      </c>
      <c r="K213" t="e" cm="1" vm="6">
        <f t="array" aca="1" ref="K213" ca="1">_FV(Table2[[#This Row],[City]],"Country/region",TRUE)</f>
        <v>#VALUE!</v>
      </c>
      <c r="L213">
        <f>Table2[[#This Row],[Quantity2]]*Table2[[#This Row],[Price]]</f>
        <v>2202.19</v>
      </c>
    </row>
    <row r="214" spans="2:12" x14ac:dyDescent="0.3">
      <c r="B214" s="3">
        <v>10668</v>
      </c>
      <c r="C214" s="4">
        <v>44915</v>
      </c>
      <c r="D214" t="s">
        <v>14</v>
      </c>
      <c r="E214" s="3">
        <v>2.95</v>
      </c>
      <c r="F214" s="3" t="s">
        <v>18</v>
      </c>
      <c r="G214" s="3" t="s">
        <v>37</v>
      </c>
      <c r="H214" t="s">
        <v>35</v>
      </c>
      <c r="I214">
        <v>746</v>
      </c>
      <c r="J214" t="e" vm="5">
        <v>#VALUE!</v>
      </c>
      <c r="K214" t="e" cm="1" vm="6">
        <f t="array" aca="1" ref="K214" ca="1">_FV(Table2[[#This Row],[City]],"Country/region",TRUE)</f>
        <v>#VALUE!</v>
      </c>
      <c r="L214">
        <f>Table2[[#This Row],[Quantity2]]*Table2[[#This Row],[Price]]</f>
        <v>2200.7000000000003</v>
      </c>
    </row>
    <row r="215" spans="2:12" x14ac:dyDescent="0.3">
      <c r="B215" s="3">
        <v>10669</v>
      </c>
      <c r="C215" s="4">
        <v>44915</v>
      </c>
      <c r="D215" t="s">
        <v>17</v>
      </c>
      <c r="E215" s="3">
        <v>4.99</v>
      </c>
      <c r="F215" s="3" t="s">
        <v>18</v>
      </c>
      <c r="G215" s="3" t="s">
        <v>37</v>
      </c>
      <c r="H215" t="s">
        <v>35</v>
      </c>
      <c r="I215">
        <v>201</v>
      </c>
      <c r="J215" t="e" vm="5">
        <v>#VALUE!</v>
      </c>
      <c r="K215" t="e" cm="1" vm="6">
        <f t="array" aca="1" ref="K215" ca="1">_FV(Table2[[#This Row],[City]],"Country/region",TRUE)</f>
        <v>#VALUE!</v>
      </c>
      <c r="L215">
        <f>Table2[[#This Row],[Quantity2]]*Table2[[#This Row],[Price]]</f>
        <v>1002.99</v>
      </c>
    </row>
    <row r="216" spans="2:12" x14ac:dyDescent="0.3">
      <c r="B216" s="3">
        <v>10670</v>
      </c>
      <c r="C216" s="4">
        <v>44916</v>
      </c>
      <c r="D216" t="s">
        <v>21</v>
      </c>
      <c r="E216" s="3">
        <v>12.99</v>
      </c>
      <c r="F216" s="3" t="s">
        <v>18</v>
      </c>
      <c r="G216" s="3" t="s">
        <v>37</v>
      </c>
      <c r="H216" t="s">
        <v>35</v>
      </c>
      <c r="I216">
        <v>678</v>
      </c>
      <c r="J216" t="e" vm="5">
        <v>#VALUE!</v>
      </c>
      <c r="K216" t="e" cm="1" vm="6">
        <f t="array" aca="1" ref="K216" ca="1">_FV(Table2[[#This Row],[City]],"Country/region",TRUE)</f>
        <v>#VALUE!</v>
      </c>
      <c r="L216">
        <f>Table2[[#This Row],[Quantity2]]*Table2[[#This Row],[Price]]</f>
        <v>8807.2199999999993</v>
      </c>
    </row>
    <row r="217" spans="2:12" x14ac:dyDescent="0.3">
      <c r="B217" s="3">
        <v>10671</v>
      </c>
      <c r="C217" s="4">
        <v>44916</v>
      </c>
      <c r="D217" t="s">
        <v>25</v>
      </c>
      <c r="E217" s="3">
        <v>9.9499999999999993</v>
      </c>
      <c r="F217" s="3" t="s">
        <v>18</v>
      </c>
      <c r="G217" s="3" t="s">
        <v>37</v>
      </c>
      <c r="H217" t="s">
        <v>35</v>
      </c>
      <c r="I217">
        <v>222</v>
      </c>
      <c r="J217" t="e" vm="5">
        <v>#VALUE!</v>
      </c>
      <c r="K217" t="e" cm="1" vm="6">
        <f t="array" aca="1" ref="K217" ca="1">_FV(Table2[[#This Row],[City]],"Country/region",TRUE)</f>
        <v>#VALUE!</v>
      </c>
      <c r="L217">
        <f>Table2[[#This Row],[Quantity2]]*Table2[[#This Row],[Price]]</f>
        <v>2208.8999999999996</v>
      </c>
    </row>
    <row r="218" spans="2:12" x14ac:dyDescent="0.3">
      <c r="B218" s="3">
        <v>10672</v>
      </c>
      <c r="C218" s="4">
        <v>44916</v>
      </c>
      <c r="D218" t="s">
        <v>9</v>
      </c>
      <c r="E218" s="3">
        <v>3.49</v>
      </c>
      <c r="F218" s="3" t="s">
        <v>18</v>
      </c>
      <c r="G218" s="3" t="s">
        <v>37</v>
      </c>
      <c r="H218" t="s">
        <v>35</v>
      </c>
      <c r="I218">
        <v>631</v>
      </c>
      <c r="J218" t="e" vm="5">
        <v>#VALUE!</v>
      </c>
      <c r="K218" t="e" cm="1" vm="6">
        <f t="array" aca="1" ref="K218" ca="1">_FV(Table2[[#This Row],[City]],"Country/region",TRUE)</f>
        <v>#VALUE!</v>
      </c>
      <c r="L218">
        <f>Table2[[#This Row],[Quantity2]]*Table2[[#This Row],[Price]]</f>
        <v>2202.19</v>
      </c>
    </row>
    <row r="219" spans="2:12" x14ac:dyDescent="0.3">
      <c r="B219" s="3">
        <v>10673</v>
      </c>
      <c r="C219" s="4">
        <v>44916</v>
      </c>
      <c r="D219" t="s">
        <v>14</v>
      </c>
      <c r="E219" s="3">
        <v>2.95</v>
      </c>
      <c r="F219" s="3" t="s">
        <v>18</v>
      </c>
      <c r="G219" s="3" t="s">
        <v>37</v>
      </c>
      <c r="H219" t="s">
        <v>35</v>
      </c>
      <c r="I219">
        <v>746</v>
      </c>
      <c r="J219" t="e" vm="5">
        <v>#VALUE!</v>
      </c>
      <c r="K219" t="e" cm="1" vm="6">
        <f t="array" aca="1" ref="K219" ca="1">_FV(Table2[[#This Row],[City]],"Country/region",TRUE)</f>
        <v>#VALUE!</v>
      </c>
      <c r="L219">
        <f>Table2[[#This Row],[Quantity2]]*Table2[[#This Row],[Price]]</f>
        <v>2200.7000000000003</v>
      </c>
    </row>
    <row r="220" spans="2:12" x14ac:dyDescent="0.3">
      <c r="B220" s="3">
        <v>10674</v>
      </c>
      <c r="C220" s="4">
        <v>44916</v>
      </c>
      <c r="D220" t="s">
        <v>17</v>
      </c>
      <c r="E220" s="3">
        <v>4.99</v>
      </c>
      <c r="F220" s="3" t="s">
        <v>18</v>
      </c>
      <c r="G220" s="3" t="s">
        <v>37</v>
      </c>
      <c r="H220" t="s">
        <v>35</v>
      </c>
      <c r="I220">
        <v>201</v>
      </c>
      <c r="J220" t="e" vm="5">
        <v>#VALUE!</v>
      </c>
      <c r="K220" t="e" cm="1" vm="6">
        <f t="array" aca="1" ref="K220" ca="1">_FV(Table2[[#This Row],[City]],"Country/region",TRUE)</f>
        <v>#VALUE!</v>
      </c>
      <c r="L220">
        <f>Table2[[#This Row],[Quantity2]]*Table2[[#This Row],[Price]]</f>
        <v>1002.99</v>
      </c>
    </row>
    <row r="221" spans="2:12" x14ac:dyDescent="0.3">
      <c r="B221" s="3">
        <v>10675</v>
      </c>
      <c r="C221" s="4">
        <v>44917</v>
      </c>
      <c r="D221" t="s">
        <v>21</v>
      </c>
      <c r="E221" s="3">
        <v>12.99</v>
      </c>
      <c r="F221" s="3" t="s">
        <v>18</v>
      </c>
      <c r="G221" s="3" t="s">
        <v>37</v>
      </c>
      <c r="H221" t="s">
        <v>35</v>
      </c>
      <c r="I221">
        <v>678</v>
      </c>
      <c r="J221" t="e" vm="5">
        <v>#VALUE!</v>
      </c>
      <c r="K221" t="e" cm="1" vm="6">
        <f t="array" aca="1" ref="K221" ca="1">_FV(Table2[[#This Row],[City]],"Country/region",TRUE)</f>
        <v>#VALUE!</v>
      </c>
      <c r="L221">
        <f>Table2[[#This Row],[Quantity2]]*Table2[[#This Row],[Price]]</f>
        <v>8807.2199999999993</v>
      </c>
    </row>
    <row r="222" spans="2:12" x14ac:dyDescent="0.3">
      <c r="B222" s="3">
        <v>10676</v>
      </c>
      <c r="C222" s="4">
        <v>44917</v>
      </c>
      <c r="D222" t="s">
        <v>25</v>
      </c>
      <c r="E222" s="3">
        <v>9.9499999999999993</v>
      </c>
      <c r="F222" s="3" t="s">
        <v>18</v>
      </c>
      <c r="G222" s="3" t="s">
        <v>37</v>
      </c>
      <c r="H222" t="s">
        <v>35</v>
      </c>
      <c r="I222">
        <v>242</v>
      </c>
      <c r="J222" t="e" vm="5">
        <v>#VALUE!</v>
      </c>
      <c r="K222" t="e" cm="1" vm="6">
        <f t="array" aca="1" ref="K222" ca="1">_FV(Table2[[#This Row],[City]],"Country/region",TRUE)</f>
        <v>#VALUE!</v>
      </c>
      <c r="L222">
        <f>Table2[[#This Row],[Quantity2]]*Table2[[#This Row],[Price]]</f>
        <v>2407.8999999999996</v>
      </c>
    </row>
    <row r="223" spans="2:12" x14ac:dyDescent="0.3">
      <c r="B223" s="3">
        <v>10677</v>
      </c>
      <c r="C223" s="4">
        <v>44917</v>
      </c>
      <c r="D223" t="s">
        <v>9</v>
      </c>
      <c r="E223" s="3">
        <v>3.49</v>
      </c>
      <c r="F223" s="3" t="s">
        <v>18</v>
      </c>
      <c r="G223" s="3" t="s">
        <v>37</v>
      </c>
      <c r="H223" t="s">
        <v>35</v>
      </c>
      <c r="I223">
        <v>631</v>
      </c>
      <c r="J223" t="e" vm="5">
        <v>#VALUE!</v>
      </c>
      <c r="K223" t="e" cm="1" vm="6">
        <f t="array" aca="1" ref="K223" ca="1">_FV(Table2[[#This Row],[City]],"Country/region",TRUE)</f>
        <v>#VALUE!</v>
      </c>
      <c r="L223">
        <f>Table2[[#This Row],[Quantity2]]*Table2[[#This Row],[Price]]</f>
        <v>2202.19</v>
      </c>
    </row>
    <row r="224" spans="2:12" x14ac:dyDescent="0.3">
      <c r="B224" s="3">
        <v>10678</v>
      </c>
      <c r="C224" s="4">
        <v>44917</v>
      </c>
      <c r="D224" t="s">
        <v>14</v>
      </c>
      <c r="E224" s="3">
        <v>2.95</v>
      </c>
      <c r="F224" s="3" t="s">
        <v>18</v>
      </c>
      <c r="G224" s="3" t="s">
        <v>37</v>
      </c>
      <c r="H224" t="s">
        <v>35</v>
      </c>
      <c r="I224">
        <v>746</v>
      </c>
      <c r="J224" t="e" vm="5">
        <v>#VALUE!</v>
      </c>
      <c r="K224" t="e" cm="1" vm="6">
        <f t="array" aca="1" ref="K224" ca="1">_FV(Table2[[#This Row],[City]],"Country/region",TRUE)</f>
        <v>#VALUE!</v>
      </c>
      <c r="L224">
        <f>Table2[[#This Row],[Quantity2]]*Table2[[#This Row],[Price]]</f>
        <v>2200.7000000000003</v>
      </c>
    </row>
    <row r="225" spans="2:12" x14ac:dyDescent="0.3">
      <c r="B225" s="3">
        <v>10679</v>
      </c>
      <c r="C225" s="4">
        <v>44917</v>
      </c>
      <c r="D225" t="s">
        <v>17</v>
      </c>
      <c r="E225" s="3">
        <v>4.99</v>
      </c>
      <c r="F225" s="3" t="s">
        <v>18</v>
      </c>
      <c r="G225" s="3" t="s">
        <v>37</v>
      </c>
      <c r="H225" t="s">
        <v>35</v>
      </c>
      <c r="I225">
        <v>201</v>
      </c>
      <c r="J225" t="e" vm="5">
        <v>#VALUE!</v>
      </c>
      <c r="K225" t="e" cm="1" vm="6">
        <f t="array" aca="1" ref="K225" ca="1">_FV(Table2[[#This Row],[City]],"Country/region",TRUE)</f>
        <v>#VALUE!</v>
      </c>
      <c r="L225">
        <f>Table2[[#This Row],[Quantity2]]*Table2[[#This Row],[Price]]</f>
        <v>1002.99</v>
      </c>
    </row>
    <row r="226" spans="2:12" x14ac:dyDescent="0.3">
      <c r="B226" s="3">
        <v>10680</v>
      </c>
      <c r="C226" s="4">
        <v>44918</v>
      </c>
      <c r="D226" t="s">
        <v>21</v>
      </c>
      <c r="E226" s="3">
        <v>12.99</v>
      </c>
      <c r="F226" s="3" t="s">
        <v>18</v>
      </c>
      <c r="G226" s="3" t="s">
        <v>37</v>
      </c>
      <c r="H226" t="s">
        <v>35</v>
      </c>
      <c r="I226">
        <v>647</v>
      </c>
      <c r="J226" t="e" vm="5">
        <v>#VALUE!</v>
      </c>
      <c r="K226" t="e" cm="1" vm="6">
        <f t="array" aca="1" ref="K226" ca="1">_FV(Table2[[#This Row],[City]],"Country/region",TRUE)</f>
        <v>#VALUE!</v>
      </c>
      <c r="L226">
        <f>Table2[[#This Row],[Quantity2]]*Table2[[#This Row],[Price]]</f>
        <v>8404.5300000000007</v>
      </c>
    </row>
    <row r="227" spans="2:12" x14ac:dyDescent="0.3">
      <c r="B227" s="3">
        <v>10681</v>
      </c>
      <c r="C227" s="4">
        <v>44918</v>
      </c>
      <c r="D227" t="s">
        <v>25</v>
      </c>
      <c r="E227" s="3">
        <v>9.9499999999999993</v>
      </c>
      <c r="F227" s="3" t="s">
        <v>18</v>
      </c>
      <c r="G227" s="3" t="s">
        <v>37</v>
      </c>
      <c r="H227" t="s">
        <v>35</v>
      </c>
      <c r="I227">
        <v>242</v>
      </c>
      <c r="J227" t="e" vm="5">
        <v>#VALUE!</v>
      </c>
      <c r="K227" t="e" cm="1" vm="6">
        <f t="array" aca="1" ref="K227" ca="1">_FV(Table2[[#This Row],[City]],"Country/region",TRUE)</f>
        <v>#VALUE!</v>
      </c>
      <c r="L227">
        <f>Table2[[#This Row],[Quantity2]]*Table2[[#This Row],[Price]]</f>
        <v>2407.8999999999996</v>
      </c>
    </row>
    <row r="228" spans="2:12" x14ac:dyDescent="0.3">
      <c r="B228" s="3">
        <v>10682</v>
      </c>
      <c r="C228" s="4">
        <v>44918</v>
      </c>
      <c r="D228" t="s">
        <v>9</v>
      </c>
      <c r="E228" s="3">
        <v>3.49</v>
      </c>
      <c r="F228" s="3" t="s">
        <v>18</v>
      </c>
      <c r="G228" s="3" t="s">
        <v>37</v>
      </c>
      <c r="H228" t="s">
        <v>35</v>
      </c>
      <c r="I228">
        <v>631</v>
      </c>
      <c r="J228" t="e" vm="5">
        <v>#VALUE!</v>
      </c>
      <c r="K228" t="e" cm="1" vm="6">
        <f t="array" aca="1" ref="K228" ca="1">_FV(Table2[[#This Row],[City]],"Country/region",TRUE)</f>
        <v>#VALUE!</v>
      </c>
      <c r="L228">
        <f>Table2[[#This Row],[Quantity2]]*Table2[[#This Row],[Price]]</f>
        <v>2202.19</v>
      </c>
    </row>
    <row r="229" spans="2:12" x14ac:dyDescent="0.3">
      <c r="B229" s="3">
        <v>10683</v>
      </c>
      <c r="C229" s="4">
        <v>44918</v>
      </c>
      <c r="D229" t="s">
        <v>14</v>
      </c>
      <c r="E229" s="3">
        <v>2.95</v>
      </c>
      <c r="F229" s="3" t="s">
        <v>18</v>
      </c>
      <c r="G229" s="3" t="s">
        <v>37</v>
      </c>
      <c r="H229" t="s">
        <v>35</v>
      </c>
      <c r="I229">
        <v>678</v>
      </c>
      <c r="J229" t="e" vm="5">
        <v>#VALUE!</v>
      </c>
      <c r="K229" t="e" cm="1" vm="6">
        <f t="array" aca="1" ref="K229" ca="1">_FV(Table2[[#This Row],[City]],"Country/region",TRUE)</f>
        <v>#VALUE!</v>
      </c>
      <c r="L229">
        <f>Table2[[#This Row],[Quantity2]]*Table2[[#This Row],[Price]]</f>
        <v>2000.1000000000001</v>
      </c>
    </row>
    <row r="230" spans="2:12" x14ac:dyDescent="0.3">
      <c r="B230" s="3">
        <v>10684</v>
      </c>
      <c r="C230" s="4">
        <v>44918</v>
      </c>
      <c r="D230" t="s">
        <v>17</v>
      </c>
      <c r="E230" s="3">
        <v>4.99</v>
      </c>
      <c r="F230" s="3" t="s">
        <v>18</v>
      </c>
      <c r="G230" s="3" t="s">
        <v>37</v>
      </c>
      <c r="H230" t="s">
        <v>35</v>
      </c>
      <c r="I230">
        <v>201</v>
      </c>
      <c r="J230" t="e" vm="5">
        <v>#VALUE!</v>
      </c>
      <c r="K230" t="e" cm="1" vm="6">
        <f t="array" aca="1" ref="K230" ca="1">_FV(Table2[[#This Row],[City]],"Country/region",TRUE)</f>
        <v>#VALUE!</v>
      </c>
      <c r="L230">
        <f>Table2[[#This Row],[Quantity2]]*Table2[[#This Row],[Price]]</f>
        <v>1002.99</v>
      </c>
    </row>
    <row r="231" spans="2:12" x14ac:dyDescent="0.3">
      <c r="B231" s="3">
        <v>10685</v>
      </c>
      <c r="C231" s="4">
        <v>44919</v>
      </c>
      <c r="D231" t="s">
        <v>21</v>
      </c>
      <c r="E231" s="3">
        <v>12.99</v>
      </c>
      <c r="F231" s="3" t="s">
        <v>18</v>
      </c>
      <c r="G231" s="3" t="s">
        <v>37</v>
      </c>
      <c r="H231" t="s">
        <v>35</v>
      </c>
      <c r="I231">
        <v>678</v>
      </c>
      <c r="J231" t="e" vm="5">
        <v>#VALUE!</v>
      </c>
      <c r="K231" t="e" cm="1" vm="6">
        <f t="array" aca="1" ref="K231" ca="1">_FV(Table2[[#This Row],[City]],"Country/region",TRUE)</f>
        <v>#VALUE!</v>
      </c>
      <c r="L231">
        <f>Table2[[#This Row],[Quantity2]]*Table2[[#This Row],[Price]]</f>
        <v>8807.2199999999993</v>
      </c>
    </row>
    <row r="232" spans="2:12" x14ac:dyDescent="0.3">
      <c r="B232" s="3">
        <v>10686</v>
      </c>
      <c r="C232" s="4">
        <v>44919</v>
      </c>
      <c r="D232" t="s">
        <v>25</v>
      </c>
      <c r="E232" s="3">
        <v>9.9499999999999993</v>
      </c>
      <c r="F232" s="3" t="s">
        <v>18</v>
      </c>
      <c r="G232" s="3" t="s">
        <v>37</v>
      </c>
      <c r="H232" t="s">
        <v>35</v>
      </c>
      <c r="I232">
        <v>242</v>
      </c>
      <c r="J232" t="e" vm="5">
        <v>#VALUE!</v>
      </c>
      <c r="K232" t="e" cm="1" vm="6">
        <f t="array" aca="1" ref="K232" ca="1">_FV(Table2[[#This Row],[City]],"Country/region",TRUE)</f>
        <v>#VALUE!</v>
      </c>
      <c r="L232">
        <f>Table2[[#This Row],[Quantity2]]*Table2[[#This Row],[Price]]</f>
        <v>2407.8999999999996</v>
      </c>
    </row>
    <row r="233" spans="2:12" x14ac:dyDescent="0.3">
      <c r="B233" s="3">
        <v>10687</v>
      </c>
      <c r="C233" s="4">
        <v>44919</v>
      </c>
      <c r="D233" t="s">
        <v>9</v>
      </c>
      <c r="E233" s="3">
        <v>3.49</v>
      </c>
      <c r="F233" s="3" t="s">
        <v>18</v>
      </c>
      <c r="G233" s="3" t="s">
        <v>37</v>
      </c>
      <c r="H233" t="s">
        <v>23</v>
      </c>
      <c r="I233">
        <v>631</v>
      </c>
      <c r="J233" t="e" vm="7">
        <v>#VALUE!</v>
      </c>
      <c r="K233" t="e" cm="1" vm="8">
        <f t="array" aca="1" ref="K233" ca="1">_FV(Table2[[#This Row],[City]],"Country/region",TRUE)</f>
        <v>#VALUE!</v>
      </c>
      <c r="L233">
        <f>Table2[[#This Row],[Quantity2]]*Table2[[#This Row],[Price]]</f>
        <v>2202.19</v>
      </c>
    </row>
    <row r="234" spans="2:12" x14ac:dyDescent="0.3">
      <c r="B234" s="3">
        <v>10688</v>
      </c>
      <c r="C234" s="4">
        <v>44919</v>
      </c>
      <c r="D234" t="s">
        <v>14</v>
      </c>
      <c r="E234" s="3">
        <v>2.95</v>
      </c>
      <c r="F234" s="3" t="s">
        <v>18</v>
      </c>
      <c r="G234" s="3" t="s">
        <v>37</v>
      </c>
      <c r="H234" t="s">
        <v>23</v>
      </c>
      <c r="I234">
        <v>678</v>
      </c>
      <c r="J234" t="e" vm="7">
        <v>#VALUE!</v>
      </c>
      <c r="K234" t="e" cm="1" vm="8">
        <f t="array" aca="1" ref="K234" ca="1">_FV(Table2[[#This Row],[City]],"Country/region",TRUE)</f>
        <v>#VALUE!</v>
      </c>
      <c r="L234">
        <f>Table2[[#This Row],[Quantity2]]*Table2[[#This Row],[Price]]</f>
        <v>2000.1000000000001</v>
      </c>
    </row>
    <row r="235" spans="2:12" x14ac:dyDescent="0.3">
      <c r="B235" s="3">
        <v>10689</v>
      </c>
      <c r="C235" s="4">
        <v>44919</v>
      </c>
      <c r="D235" t="s">
        <v>17</v>
      </c>
      <c r="E235" s="3">
        <v>4.99</v>
      </c>
      <c r="F235" s="3" t="s">
        <v>18</v>
      </c>
      <c r="G235" s="3" t="s">
        <v>37</v>
      </c>
      <c r="H235" t="s">
        <v>23</v>
      </c>
      <c r="I235">
        <v>201</v>
      </c>
      <c r="J235" t="e" vm="7">
        <v>#VALUE!</v>
      </c>
      <c r="K235" t="e" cm="1" vm="8">
        <f t="array" aca="1" ref="K235" ca="1">_FV(Table2[[#This Row],[City]],"Country/region",TRUE)</f>
        <v>#VALUE!</v>
      </c>
      <c r="L235">
        <f>Table2[[#This Row],[Quantity2]]*Table2[[#This Row],[Price]]</f>
        <v>1002.99</v>
      </c>
    </row>
    <row r="236" spans="2:12" x14ac:dyDescent="0.3">
      <c r="B236" s="3">
        <v>10690</v>
      </c>
      <c r="C236" s="4">
        <v>44920</v>
      </c>
      <c r="D236" t="s">
        <v>21</v>
      </c>
      <c r="E236" s="3">
        <v>12.99</v>
      </c>
      <c r="F236" s="3" t="s">
        <v>18</v>
      </c>
      <c r="G236" s="3" t="s">
        <v>37</v>
      </c>
      <c r="H236" t="s">
        <v>23</v>
      </c>
      <c r="I236">
        <v>678</v>
      </c>
      <c r="J236" t="e" vm="7">
        <v>#VALUE!</v>
      </c>
      <c r="K236" t="e" cm="1" vm="8">
        <f t="array" aca="1" ref="K236" ca="1">_FV(Table2[[#This Row],[City]],"Country/region",TRUE)</f>
        <v>#VALUE!</v>
      </c>
      <c r="L236">
        <f>Table2[[#This Row],[Quantity2]]*Table2[[#This Row],[Price]]</f>
        <v>8807.2199999999993</v>
      </c>
    </row>
    <row r="237" spans="2:12" x14ac:dyDescent="0.3">
      <c r="B237" s="3">
        <v>10691</v>
      </c>
      <c r="C237" s="4">
        <v>44920</v>
      </c>
      <c r="D237" t="s">
        <v>25</v>
      </c>
      <c r="E237" s="3">
        <v>9.9499999999999993</v>
      </c>
      <c r="F237" s="3" t="s">
        <v>18</v>
      </c>
      <c r="G237" s="3" t="s">
        <v>37</v>
      </c>
      <c r="H237" t="s">
        <v>23</v>
      </c>
      <c r="I237">
        <v>262</v>
      </c>
      <c r="J237" t="e" vm="7">
        <v>#VALUE!</v>
      </c>
      <c r="K237" t="e" cm="1" vm="8">
        <f t="array" aca="1" ref="K237" ca="1">_FV(Table2[[#This Row],[City]],"Country/region",TRUE)</f>
        <v>#VALUE!</v>
      </c>
      <c r="L237">
        <f>Table2[[#This Row],[Quantity2]]*Table2[[#This Row],[Price]]</f>
        <v>2606.8999999999996</v>
      </c>
    </row>
    <row r="238" spans="2:12" x14ac:dyDescent="0.3">
      <c r="B238" s="3">
        <v>10692</v>
      </c>
      <c r="C238" s="4">
        <v>44920</v>
      </c>
      <c r="D238" t="s">
        <v>9</v>
      </c>
      <c r="E238" s="3">
        <v>3.49</v>
      </c>
      <c r="F238" s="3" t="s">
        <v>18</v>
      </c>
      <c r="G238" s="3" t="s">
        <v>37</v>
      </c>
      <c r="H238" t="s">
        <v>23</v>
      </c>
      <c r="I238">
        <v>631</v>
      </c>
      <c r="J238" t="e" vm="7">
        <v>#VALUE!</v>
      </c>
      <c r="K238" t="e" cm="1" vm="8">
        <f t="array" aca="1" ref="K238" ca="1">_FV(Table2[[#This Row],[City]],"Country/region",TRUE)</f>
        <v>#VALUE!</v>
      </c>
      <c r="L238">
        <f>Table2[[#This Row],[Quantity2]]*Table2[[#This Row],[Price]]</f>
        <v>2202.19</v>
      </c>
    </row>
    <row r="239" spans="2:12" x14ac:dyDescent="0.3">
      <c r="B239" s="3">
        <v>10693</v>
      </c>
      <c r="C239" s="4">
        <v>44920</v>
      </c>
      <c r="D239" t="s">
        <v>14</v>
      </c>
      <c r="E239" s="3">
        <v>2.95</v>
      </c>
      <c r="F239" s="3" t="s">
        <v>18</v>
      </c>
      <c r="G239" s="3" t="s">
        <v>37</v>
      </c>
      <c r="H239" t="s">
        <v>23</v>
      </c>
      <c r="I239">
        <v>678</v>
      </c>
      <c r="J239" t="e" vm="7">
        <v>#VALUE!</v>
      </c>
      <c r="K239" t="e" cm="1" vm="8">
        <f t="array" aca="1" ref="K239" ca="1">_FV(Table2[[#This Row],[City]],"Country/region",TRUE)</f>
        <v>#VALUE!</v>
      </c>
      <c r="L239">
        <f>Table2[[#This Row],[Quantity2]]*Table2[[#This Row],[Price]]</f>
        <v>2000.1000000000001</v>
      </c>
    </row>
    <row r="240" spans="2:12" x14ac:dyDescent="0.3">
      <c r="B240" s="3">
        <v>10694</v>
      </c>
      <c r="C240" s="4">
        <v>44920</v>
      </c>
      <c r="D240" t="s">
        <v>17</v>
      </c>
      <c r="E240" s="3">
        <v>4.99</v>
      </c>
      <c r="F240" s="3" t="s">
        <v>18</v>
      </c>
      <c r="G240" s="3" t="s">
        <v>37</v>
      </c>
      <c r="H240" t="s">
        <v>23</v>
      </c>
      <c r="I240">
        <v>201</v>
      </c>
      <c r="J240" t="e" vm="7">
        <v>#VALUE!</v>
      </c>
      <c r="K240" t="e" cm="1" vm="8">
        <f t="array" aca="1" ref="K240" ca="1">_FV(Table2[[#This Row],[City]],"Country/region",TRUE)</f>
        <v>#VALUE!</v>
      </c>
      <c r="L240">
        <f>Table2[[#This Row],[Quantity2]]*Table2[[#This Row],[Price]]</f>
        <v>1002.99</v>
      </c>
    </row>
    <row r="241" spans="2:12" x14ac:dyDescent="0.3">
      <c r="B241" s="3">
        <v>10695</v>
      </c>
      <c r="C241" s="4">
        <v>44921</v>
      </c>
      <c r="D241" t="s">
        <v>21</v>
      </c>
      <c r="E241" s="3">
        <v>12.99</v>
      </c>
      <c r="F241" s="3" t="s">
        <v>18</v>
      </c>
      <c r="G241" s="3" t="s">
        <v>37</v>
      </c>
      <c r="H241" t="s">
        <v>23</v>
      </c>
      <c r="I241">
        <v>693</v>
      </c>
      <c r="J241" t="e" vm="7">
        <v>#VALUE!</v>
      </c>
      <c r="K241" t="e" cm="1" vm="8">
        <f t="array" aca="1" ref="K241" ca="1">_FV(Table2[[#This Row],[City]],"Country/region",TRUE)</f>
        <v>#VALUE!</v>
      </c>
      <c r="L241">
        <f>Table2[[#This Row],[Quantity2]]*Table2[[#This Row],[Price]]</f>
        <v>9002.07</v>
      </c>
    </row>
    <row r="242" spans="2:12" x14ac:dyDescent="0.3">
      <c r="B242" s="3">
        <v>10696</v>
      </c>
      <c r="C242" s="4">
        <v>44921</v>
      </c>
      <c r="D242" t="s">
        <v>25</v>
      </c>
      <c r="E242" s="3">
        <v>9.9499999999999993</v>
      </c>
      <c r="F242" s="3" t="s">
        <v>18</v>
      </c>
      <c r="G242" s="3" t="s">
        <v>37</v>
      </c>
      <c r="H242" t="s">
        <v>23</v>
      </c>
      <c r="I242">
        <v>282</v>
      </c>
      <c r="J242" t="e" vm="7">
        <v>#VALUE!</v>
      </c>
      <c r="K242" t="e" cm="1" vm="8">
        <f t="array" aca="1" ref="K242" ca="1">_FV(Table2[[#This Row],[City]],"Country/region",TRUE)</f>
        <v>#VALUE!</v>
      </c>
      <c r="L242">
        <f>Table2[[#This Row],[Quantity2]]*Table2[[#This Row],[Price]]</f>
        <v>2805.8999999999996</v>
      </c>
    </row>
    <row r="243" spans="2:12" x14ac:dyDescent="0.3">
      <c r="B243" s="3">
        <v>10697</v>
      </c>
      <c r="C243" s="4">
        <v>44921</v>
      </c>
      <c r="D243" t="s">
        <v>9</v>
      </c>
      <c r="E243" s="3">
        <v>3.49</v>
      </c>
      <c r="F243" s="3" t="s">
        <v>18</v>
      </c>
      <c r="G243" s="3" t="s">
        <v>37</v>
      </c>
      <c r="H243" t="s">
        <v>23</v>
      </c>
      <c r="I243">
        <v>631</v>
      </c>
      <c r="J243" t="e" vm="7">
        <v>#VALUE!</v>
      </c>
      <c r="K243" t="e" cm="1" vm="8">
        <f t="array" aca="1" ref="K243" ca="1">_FV(Table2[[#This Row],[City]],"Country/region",TRUE)</f>
        <v>#VALUE!</v>
      </c>
      <c r="L243">
        <f>Table2[[#This Row],[Quantity2]]*Table2[[#This Row],[Price]]</f>
        <v>2202.19</v>
      </c>
    </row>
    <row r="244" spans="2:12" x14ac:dyDescent="0.3">
      <c r="B244" s="3">
        <v>10698</v>
      </c>
      <c r="C244" s="4">
        <v>44921</v>
      </c>
      <c r="D244" t="s">
        <v>14</v>
      </c>
      <c r="E244" s="3">
        <v>2.95</v>
      </c>
      <c r="F244" s="3" t="s">
        <v>18</v>
      </c>
      <c r="G244" s="3" t="s">
        <v>37</v>
      </c>
      <c r="H244" t="s">
        <v>23</v>
      </c>
      <c r="I244">
        <v>678</v>
      </c>
      <c r="J244" t="e" vm="7">
        <v>#VALUE!</v>
      </c>
      <c r="K244" t="e" cm="1" vm="8">
        <f t="array" aca="1" ref="K244" ca="1">_FV(Table2[[#This Row],[City]],"Country/region",TRUE)</f>
        <v>#VALUE!</v>
      </c>
      <c r="L244">
        <f>Table2[[#This Row],[Quantity2]]*Table2[[#This Row],[Price]]</f>
        <v>2000.1000000000001</v>
      </c>
    </row>
    <row r="245" spans="2:12" x14ac:dyDescent="0.3">
      <c r="B245" s="3">
        <v>10699</v>
      </c>
      <c r="C245" s="4">
        <v>44921</v>
      </c>
      <c r="D245" t="s">
        <v>17</v>
      </c>
      <c r="E245" s="3">
        <v>4.99</v>
      </c>
      <c r="F245" s="3" t="s">
        <v>18</v>
      </c>
      <c r="G245" s="3" t="s">
        <v>37</v>
      </c>
      <c r="H245" t="s">
        <v>23</v>
      </c>
      <c r="I245">
        <v>201</v>
      </c>
      <c r="J245" t="e" vm="7">
        <v>#VALUE!</v>
      </c>
      <c r="K245" t="e" cm="1" vm="8">
        <f t="array" aca="1" ref="K245" ca="1">_FV(Table2[[#This Row],[City]],"Country/region",TRUE)</f>
        <v>#VALUE!</v>
      </c>
      <c r="L245">
        <f>Table2[[#This Row],[Quantity2]]*Table2[[#This Row],[Price]]</f>
        <v>1002.99</v>
      </c>
    </row>
    <row r="246" spans="2:12" x14ac:dyDescent="0.3">
      <c r="B246" s="3">
        <v>10700</v>
      </c>
      <c r="C246" s="4">
        <v>44922</v>
      </c>
      <c r="D246" t="s">
        <v>21</v>
      </c>
      <c r="E246" s="3">
        <v>12.99</v>
      </c>
      <c r="F246" s="3" t="s">
        <v>18</v>
      </c>
      <c r="G246" s="3" t="s">
        <v>37</v>
      </c>
      <c r="H246" t="s">
        <v>23</v>
      </c>
      <c r="I246">
        <v>693</v>
      </c>
      <c r="J246" t="e" vm="7">
        <v>#VALUE!</v>
      </c>
      <c r="K246" t="e" cm="1" vm="8">
        <f t="array" aca="1" ref="K246" ca="1">_FV(Table2[[#This Row],[City]],"Country/region",TRUE)</f>
        <v>#VALUE!</v>
      </c>
      <c r="L246">
        <f>Table2[[#This Row],[Quantity2]]*Table2[[#This Row],[Price]]</f>
        <v>9002.07</v>
      </c>
    </row>
    <row r="247" spans="2:12" x14ac:dyDescent="0.3">
      <c r="B247" s="3">
        <v>10701</v>
      </c>
      <c r="C247" s="4">
        <v>44922</v>
      </c>
      <c r="D247" t="s">
        <v>25</v>
      </c>
      <c r="E247" s="3">
        <v>9.9499999999999993</v>
      </c>
      <c r="F247" s="3" t="s">
        <v>18</v>
      </c>
      <c r="G247" s="3" t="s">
        <v>37</v>
      </c>
      <c r="H247" t="s">
        <v>23</v>
      </c>
      <c r="I247">
        <v>282</v>
      </c>
      <c r="J247" t="e" vm="7">
        <v>#VALUE!</v>
      </c>
      <c r="K247" t="e" cm="1" vm="8">
        <f t="array" aca="1" ref="K247" ca="1">_FV(Table2[[#This Row],[City]],"Country/region",TRUE)</f>
        <v>#VALUE!</v>
      </c>
      <c r="L247">
        <f>Table2[[#This Row],[Quantity2]]*Table2[[#This Row],[Price]]</f>
        <v>2805.8999999999996</v>
      </c>
    </row>
    <row r="248" spans="2:12" x14ac:dyDescent="0.3">
      <c r="B248" s="3">
        <v>10702</v>
      </c>
      <c r="C248" s="4">
        <v>44922</v>
      </c>
      <c r="D248" t="s">
        <v>9</v>
      </c>
      <c r="E248" s="3">
        <v>3.49</v>
      </c>
      <c r="F248" s="3" t="s">
        <v>18</v>
      </c>
      <c r="G248" s="3" t="s">
        <v>37</v>
      </c>
      <c r="H248" t="s">
        <v>23</v>
      </c>
      <c r="I248">
        <v>631</v>
      </c>
      <c r="J248" t="e" vm="7">
        <v>#VALUE!</v>
      </c>
      <c r="K248" t="e" cm="1" vm="8">
        <f t="array" aca="1" ref="K248" ca="1">_FV(Table2[[#This Row],[City]],"Country/region",TRUE)</f>
        <v>#VALUE!</v>
      </c>
      <c r="L248">
        <f>Table2[[#This Row],[Quantity2]]*Table2[[#This Row],[Price]]</f>
        <v>2202.19</v>
      </c>
    </row>
    <row r="249" spans="2:12" x14ac:dyDescent="0.3">
      <c r="B249" s="3">
        <v>10703</v>
      </c>
      <c r="C249" s="4">
        <v>44922</v>
      </c>
      <c r="D249" t="s">
        <v>14</v>
      </c>
      <c r="E249" s="3">
        <v>2.95</v>
      </c>
      <c r="F249" s="3" t="s">
        <v>18</v>
      </c>
      <c r="G249" s="3" t="s">
        <v>11</v>
      </c>
      <c r="H249" t="s">
        <v>23</v>
      </c>
      <c r="I249">
        <v>678</v>
      </c>
      <c r="J249" t="e" vm="7">
        <v>#VALUE!</v>
      </c>
      <c r="K249" t="e" cm="1" vm="8">
        <f t="array" aca="1" ref="K249" ca="1">_FV(Table2[[#This Row],[City]],"Country/region",TRUE)</f>
        <v>#VALUE!</v>
      </c>
      <c r="L249">
        <f>Table2[[#This Row],[Quantity2]]*Table2[[#This Row],[Price]]</f>
        <v>2000.1000000000001</v>
      </c>
    </row>
    <row r="250" spans="2:12" x14ac:dyDescent="0.3">
      <c r="B250" s="3">
        <v>10704</v>
      </c>
      <c r="C250" s="4">
        <v>44922</v>
      </c>
      <c r="D250" t="s">
        <v>17</v>
      </c>
      <c r="E250" s="3">
        <v>4.99</v>
      </c>
      <c r="F250" s="3" t="s">
        <v>36</v>
      </c>
      <c r="G250" s="3" t="s">
        <v>11</v>
      </c>
      <c r="H250" t="s">
        <v>23</v>
      </c>
      <c r="I250">
        <v>201</v>
      </c>
      <c r="J250" t="e" vm="7">
        <v>#VALUE!</v>
      </c>
      <c r="K250" t="e" cm="1" vm="8">
        <f t="array" aca="1" ref="K250" ca="1">_FV(Table2[[#This Row],[City]],"Country/region",TRUE)</f>
        <v>#VALUE!</v>
      </c>
      <c r="L250">
        <f>Table2[[#This Row],[Quantity2]]*Table2[[#This Row],[Price]]</f>
        <v>1002.99</v>
      </c>
    </row>
    <row r="251" spans="2:12" x14ac:dyDescent="0.3">
      <c r="B251" s="3">
        <v>10705</v>
      </c>
      <c r="C251" s="4">
        <v>44923</v>
      </c>
      <c r="D251" t="s">
        <v>21</v>
      </c>
      <c r="E251" s="3">
        <v>12.99</v>
      </c>
      <c r="F251" s="3" t="s">
        <v>36</v>
      </c>
      <c r="G251" s="3" t="s">
        <v>11</v>
      </c>
      <c r="H251" t="s">
        <v>23</v>
      </c>
      <c r="I251">
        <v>724</v>
      </c>
      <c r="J251" t="e" vm="7">
        <v>#VALUE!</v>
      </c>
      <c r="K251" t="e" cm="1" vm="8">
        <f t="array" aca="1" ref="K251" ca="1">_FV(Table2[[#This Row],[City]],"Country/region",TRUE)</f>
        <v>#VALUE!</v>
      </c>
      <c r="L251">
        <f>Table2[[#This Row],[Quantity2]]*Table2[[#This Row],[Price]]</f>
        <v>9404.76</v>
      </c>
    </row>
    <row r="252" spans="2:12" x14ac:dyDescent="0.3">
      <c r="B252" s="3">
        <v>10706</v>
      </c>
      <c r="C252" s="4">
        <v>44923</v>
      </c>
      <c r="D252" t="s">
        <v>25</v>
      </c>
      <c r="E252" s="3">
        <v>9.9499999999999993</v>
      </c>
      <c r="F252" s="3" t="s">
        <v>36</v>
      </c>
      <c r="G252" s="3" t="s">
        <v>11</v>
      </c>
      <c r="H252" t="s">
        <v>23</v>
      </c>
      <c r="I252">
        <v>302</v>
      </c>
      <c r="J252" t="e" vm="7">
        <v>#VALUE!</v>
      </c>
      <c r="K252" t="e" cm="1" vm="8">
        <f t="array" aca="1" ref="K252" ca="1">_FV(Table2[[#This Row],[City]],"Country/region",TRUE)</f>
        <v>#VALUE!</v>
      </c>
      <c r="L252">
        <f>Table2[[#This Row],[Quantity2]]*Table2[[#This Row],[Price]]</f>
        <v>3004.8999999999996</v>
      </c>
    </row>
    <row r="253" spans="2:12" x14ac:dyDescent="0.3">
      <c r="B253" s="3">
        <v>10707</v>
      </c>
      <c r="C253" s="4">
        <v>44923</v>
      </c>
      <c r="D253" t="s">
        <v>9</v>
      </c>
      <c r="E253" s="3">
        <v>3.49</v>
      </c>
      <c r="F253" s="3" t="s">
        <v>36</v>
      </c>
      <c r="G253" s="3" t="s">
        <v>11</v>
      </c>
      <c r="H253" t="s">
        <v>23</v>
      </c>
      <c r="I253">
        <v>631</v>
      </c>
      <c r="J253" t="e" vm="7">
        <v>#VALUE!</v>
      </c>
      <c r="K253" t="e" cm="1" vm="8">
        <f t="array" aca="1" ref="K253" ca="1">_FV(Table2[[#This Row],[City]],"Country/region",TRUE)</f>
        <v>#VALUE!</v>
      </c>
      <c r="L253">
        <f>Table2[[#This Row],[Quantity2]]*Table2[[#This Row],[Price]]</f>
        <v>2202.19</v>
      </c>
    </row>
    <row r="254" spans="2:12" x14ac:dyDescent="0.3">
      <c r="B254" s="3">
        <v>10708</v>
      </c>
      <c r="C254" s="4">
        <v>44923</v>
      </c>
      <c r="D254" t="s">
        <v>14</v>
      </c>
      <c r="E254" s="3">
        <v>2.95</v>
      </c>
      <c r="F254" s="3" t="s">
        <v>36</v>
      </c>
      <c r="G254" s="3" t="s">
        <v>11</v>
      </c>
      <c r="H254" t="s">
        <v>23</v>
      </c>
      <c r="I254">
        <v>678</v>
      </c>
      <c r="J254" t="e" vm="7">
        <v>#VALUE!</v>
      </c>
      <c r="K254" t="e" cm="1" vm="8">
        <f t="array" aca="1" ref="K254" ca="1">_FV(Table2[[#This Row],[City]],"Country/region",TRUE)</f>
        <v>#VALUE!</v>
      </c>
      <c r="L254">
        <f>Table2[[#This Row],[Quantity2]]*Table2[[#This Row],[Price]]</f>
        <v>2000.1000000000001</v>
      </c>
    </row>
    <row r="255" spans="2:12" x14ac:dyDescent="0.3">
      <c r="B255" s="3">
        <v>10709</v>
      </c>
      <c r="C255" s="4">
        <v>44923</v>
      </c>
      <c r="D255" t="s">
        <v>17</v>
      </c>
      <c r="E255" s="3">
        <v>4.99</v>
      </c>
      <c r="F255" s="3" t="s">
        <v>36</v>
      </c>
      <c r="G255" s="3" t="s">
        <v>11</v>
      </c>
      <c r="H255" t="s">
        <v>23</v>
      </c>
      <c r="I255">
        <v>201</v>
      </c>
      <c r="J255" t="e" vm="7">
        <v>#VALUE!</v>
      </c>
      <c r="K255" t="e" cm="1" vm="8">
        <f t="array" aca="1" ref="K255" ca="1">_FV(Table2[[#This Row],[City]],"Country/region",TRUE)</f>
        <v>#VALUE!</v>
      </c>
      <c r="L255">
        <f>Table2[[#This Row],[Quantity2]]*Table2[[#This Row],[Price]]</f>
        <v>1002.99</v>
      </c>
    </row>
    <row r="256" spans="2:12" x14ac:dyDescent="0.3">
      <c r="B256" s="3">
        <v>10710</v>
      </c>
      <c r="C256" s="4">
        <v>44924</v>
      </c>
      <c r="D256" t="s">
        <v>21</v>
      </c>
      <c r="E256" s="3">
        <v>12.99</v>
      </c>
      <c r="F256" s="3" t="s">
        <v>36</v>
      </c>
      <c r="G256" s="3" t="s">
        <v>11</v>
      </c>
      <c r="H256" t="s">
        <v>23</v>
      </c>
      <c r="I256">
        <v>755</v>
      </c>
      <c r="J256" t="e" vm="7">
        <v>#VALUE!</v>
      </c>
      <c r="K256" t="e" cm="1" vm="8">
        <f t="array" aca="1" ref="K256" ca="1">_FV(Table2[[#This Row],[City]],"Country/region",TRUE)</f>
        <v>#VALUE!</v>
      </c>
      <c r="L256">
        <f>Table2[[#This Row],[Quantity2]]*Table2[[#This Row],[Price]]</f>
        <v>9807.4500000000007</v>
      </c>
    </row>
    <row r="257" spans="2:12" x14ac:dyDescent="0.3">
      <c r="B257" s="3">
        <v>10711</v>
      </c>
      <c r="C257" s="4">
        <v>44924</v>
      </c>
      <c r="D257" t="s">
        <v>25</v>
      </c>
      <c r="E257" s="3">
        <v>9.9499999999999993</v>
      </c>
      <c r="F257" s="3" t="s">
        <v>36</v>
      </c>
      <c r="G257" s="3" t="s">
        <v>11</v>
      </c>
      <c r="H257" t="s">
        <v>23</v>
      </c>
      <c r="I257">
        <v>282</v>
      </c>
      <c r="J257" t="e" vm="7">
        <v>#VALUE!</v>
      </c>
      <c r="K257" t="e" cm="1" vm="8">
        <f t="array" aca="1" ref="K257" ca="1">_FV(Table2[[#This Row],[City]],"Country/region",TRUE)</f>
        <v>#VALUE!</v>
      </c>
      <c r="L257">
        <f>Table2[[#This Row],[Quantity2]]*Table2[[#This Row],[Price]]</f>
        <v>2805.8999999999996</v>
      </c>
    </row>
    <row r="258" spans="2:12" x14ac:dyDescent="0.3">
      <c r="B258" s="3">
        <v>10712</v>
      </c>
      <c r="C258" s="4">
        <v>44924</v>
      </c>
      <c r="D258" t="s">
        <v>9</v>
      </c>
      <c r="E258" s="3">
        <v>3.49</v>
      </c>
      <c r="F258" s="3" t="s">
        <v>36</v>
      </c>
      <c r="G258" s="3" t="s">
        <v>11</v>
      </c>
      <c r="H258" t="s">
        <v>23</v>
      </c>
      <c r="I258">
        <v>631</v>
      </c>
      <c r="J258" t="e" vm="7">
        <v>#VALUE!</v>
      </c>
      <c r="K258" t="e" cm="1" vm="8">
        <f t="array" aca="1" ref="K258" ca="1">_FV(Table2[[#This Row],[City]],"Country/region",TRUE)</f>
        <v>#VALUE!</v>
      </c>
      <c r="L258">
        <f>Table2[[#This Row],[Quantity2]]*Table2[[#This Row],[Price]]</f>
        <v>2202.19</v>
      </c>
    </row>
    <row r="259" spans="2:12" x14ac:dyDescent="0.3">
      <c r="B259" s="3">
        <v>10713</v>
      </c>
      <c r="C259" s="4">
        <v>44924</v>
      </c>
      <c r="D259" t="s">
        <v>14</v>
      </c>
      <c r="E259" s="3">
        <v>2.95</v>
      </c>
      <c r="F259" s="3" t="s">
        <v>36</v>
      </c>
      <c r="G259" s="3" t="s">
        <v>11</v>
      </c>
      <c r="H259" t="s">
        <v>23</v>
      </c>
      <c r="I259">
        <v>678</v>
      </c>
      <c r="J259" t="e" vm="7">
        <v>#VALUE!</v>
      </c>
      <c r="K259" t="e" cm="1" vm="8">
        <f t="array" aca="1" ref="K259" ca="1">_FV(Table2[[#This Row],[City]],"Country/region",TRUE)</f>
        <v>#VALUE!</v>
      </c>
      <c r="L259">
        <f>Table2[[#This Row],[Quantity2]]*Table2[[#This Row],[Price]]</f>
        <v>2000.1000000000001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election activeCell="D3" sqref="D3"/>
    </sheetView>
  </sheetViews>
  <sheetFormatPr defaultColWidth="10.69921875" defaultRowHeight="15.6" x14ac:dyDescent="0.3"/>
  <sheetData>
    <row r="2" spans="2:13" x14ac:dyDescent="0.3">
      <c r="B2" s="1" t="s">
        <v>0</v>
      </c>
      <c r="C2" s="1" t="s">
        <v>1</v>
      </c>
      <c r="D2" s="1" t="s">
        <v>2</v>
      </c>
      <c r="E2" s="2" t="s">
        <v>3</v>
      </c>
      <c r="F2" s="1" t="s">
        <v>4</v>
      </c>
      <c r="G2" s="2" t="s">
        <v>48</v>
      </c>
      <c r="H2" s="1" t="s">
        <v>8</v>
      </c>
      <c r="I2" s="1" t="s">
        <v>45</v>
      </c>
      <c r="J2" s="1" t="s">
        <v>5</v>
      </c>
      <c r="K2" s="1" t="s">
        <v>6</v>
      </c>
      <c r="L2" s="1" t="s">
        <v>7</v>
      </c>
      <c r="M2" s="1" t="s">
        <v>46</v>
      </c>
    </row>
    <row r="3" spans="2:13" x14ac:dyDescent="0.3">
      <c r="B3" s="3">
        <v>10452</v>
      </c>
      <c r="C3" s="4">
        <v>44872</v>
      </c>
      <c r="D3" t="s">
        <v>9</v>
      </c>
      <c r="E3" s="3">
        <v>3.49</v>
      </c>
      <c r="F3" s="20">
        <v>574</v>
      </c>
      <c r="G3" s="3">
        <v>0.88</v>
      </c>
      <c r="H3" t="e" vm="11">
        <v>#VALUE!</v>
      </c>
      <c r="I3" t="e" cm="1" vm="12">
        <f t="array" ref="I3">_FV(H3,"Country/region",TRUE)</f>
        <v>#VALUE!</v>
      </c>
      <c r="J3" t="s">
        <v>10</v>
      </c>
      <c r="K3" t="s">
        <v>11</v>
      </c>
      <c r="L3" t="s">
        <v>38</v>
      </c>
      <c r="M3">
        <f>Table1[[#This Row],[Price]]*Table1[[#This Row],[Quantity]]</f>
        <v>2003.2600000000002</v>
      </c>
    </row>
    <row r="4" spans="2:13" x14ac:dyDescent="0.3">
      <c r="B4" s="3">
        <v>10453</v>
      </c>
      <c r="C4" s="4">
        <v>44872</v>
      </c>
      <c r="D4" t="s">
        <v>14</v>
      </c>
      <c r="E4" s="3">
        <v>2.95</v>
      </c>
      <c r="F4" s="20">
        <v>746</v>
      </c>
      <c r="G4" s="3">
        <v>0.47</v>
      </c>
      <c r="H4" t="e" vm="13">
        <v>#VALUE!</v>
      </c>
      <c r="I4" t="e" cm="1" vm="14">
        <f t="array" ref="I4">_FV(H4,"Country/region",TRUE)</f>
        <v>#VALUE!</v>
      </c>
      <c r="J4" t="s">
        <v>10</v>
      </c>
      <c r="K4" t="s">
        <v>11</v>
      </c>
      <c r="L4" t="s">
        <v>31</v>
      </c>
      <c r="M4">
        <f>Table1[[#This Row],[Price]]*Table1[[#This Row],[Quantity]]</f>
        <v>2200.7000000000003</v>
      </c>
    </row>
    <row r="5" spans="2:13" x14ac:dyDescent="0.3">
      <c r="B5" s="3">
        <v>10454</v>
      </c>
      <c r="C5" s="4">
        <v>44872</v>
      </c>
      <c r="D5" t="s">
        <v>17</v>
      </c>
      <c r="E5" s="3">
        <v>4.99</v>
      </c>
      <c r="F5" s="20">
        <v>201</v>
      </c>
      <c r="G5" s="3">
        <v>2.25</v>
      </c>
      <c r="H5" t="e" vm="15">
        <v>#VALUE!</v>
      </c>
      <c r="I5" t="e" cm="1" vm="16">
        <f t="array" ref="I5">_FV(H5,"Country/region",TRUE)</f>
        <v>#VALUE!</v>
      </c>
      <c r="J5" t="s">
        <v>18</v>
      </c>
      <c r="K5" t="s">
        <v>11</v>
      </c>
      <c r="L5" t="s">
        <v>35</v>
      </c>
      <c r="M5">
        <f>Table1[[#This Row],[Price]]*Table1[[#This Row],[Quantity]]</f>
        <v>1002.99</v>
      </c>
    </row>
    <row r="6" spans="2:13" x14ac:dyDescent="0.3">
      <c r="B6" s="3">
        <v>10455</v>
      </c>
      <c r="C6" s="4">
        <v>44873</v>
      </c>
      <c r="D6" t="s">
        <v>21</v>
      </c>
      <c r="E6" s="3">
        <v>12.99</v>
      </c>
      <c r="F6" s="20">
        <v>570</v>
      </c>
      <c r="G6" s="3">
        <v>4.32</v>
      </c>
      <c r="H6" t="e" vm="17">
        <v>#VALUE!</v>
      </c>
      <c r="I6" t="e" cm="1" vm="18">
        <f t="array" ref="I6">_FV(H6,"Country/region",TRUE)</f>
        <v>#VALUE!</v>
      </c>
      <c r="J6" t="s">
        <v>18</v>
      </c>
      <c r="K6" t="s">
        <v>22</v>
      </c>
      <c r="L6" t="s">
        <v>23</v>
      </c>
      <c r="M6">
        <f>Table1[[#This Row],[Price]]*Table1[[#This Row],[Quantity]]</f>
        <v>7404.3</v>
      </c>
    </row>
    <row r="7" spans="2:13" x14ac:dyDescent="0.3">
      <c r="B7" s="3">
        <v>10456</v>
      </c>
      <c r="C7" s="4">
        <v>44873</v>
      </c>
      <c r="D7" t="s">
        <v>25</v>
      </c>
      <c r="E7" s="3">
        <v>9.9499999999999993</v>
      </c>
      <c r="F7" s="20">
        <v>202</v>
      </c>
      <c r="G7" s="3">
        <v>2.85</v>
      </c>
      <c r="H7" t="e" vm="17">
        <v>#VALUE!</v>
      </c>
      <c r="I7" t="e" cm="1" vm="18">
        <f t="array" ref="I7">_FV(H7,"Country/region",TRUE)</f>
        <v>#VALUE!</v>
      </c>
      <c r="J7" t="s">
        <v>18</v>
      </c>
      <c r="K7" t="s">
        <v>22</v>
      </c>
      <c r="L7" t="s">
        <v>23</v>
      </c>
      <c r="M7">
        <f>Table1[[#This Row],[Price]]*Table1[[#This Row],[Quantity]]</f>
        <v>2009.8999999999999</v>
      </c>
    </row>
    <row r="8" spans="2:13" x14ac:dyDescent="0.3">
      <c r="B8" s="3">
        <v>10457</v>
      </c>
      <c r="C8" s="4">
        <v>44873</v>
      </c>
      <c r="D8" t="s">
        <v>9</v>
      </c>
      <c r="E8" s="3">
        <v>3.49</v>
      </c>
      <c r="F8" s="20">
        <v>574</v>
      </c>
      <c r="G8" s="3">
        <v>0.88</v>
      </c>
      <c r="H8" t="e" vm="19">
        <v>#VALUE!</v>
      </c>
      <c r="I8" t="e" cm="1" vm="20">
        <f t="array" ref="I8">_FV(H8,"Country/region",TRUE)</f>
        <v>#VALUE!</v>
      </c>
      <c r="J8" t="s">
        <v>18</v>
      </c>
      <c r="K8" t="s">
        <v>22</v>
      </c>
      <c r="L8" t="s">
        <v>28</v>
      </c>
      <c r="M8">
        <f>Table1[[#This Row],[Price]]*Table1[[#This Row],[Quantity]]</f>
        <v>2003.2600000000002</v>
      </c>
    </row>
    <row r="9" spans="2:13" x14ac:dyDescent="0.3">
      <c r="B9" s="3">
        <v>10459</v>
      </c>
      <c r="C9" s="4">
        <v>44873</v>
      </c>
      <c r="D9" t="s">
        <v>17</v>
      </c>
      <c r="E9" s="3">
        <v>4.99</v>
      </c>
      <c r="F9" s="20">
        <v>201</v>
      </c>
      <c r="G9" s="3">
        <v>2.25</v>
      </c>
      <c r="H9" t="e" vm="19">
        <v>#VALUE!</v>
      </c>
      <c r="I9" t="e" cm="1" vm="20">
        <f t="array" ref="I9">_FV(H9,"Country/region",TRUE)</f>
        <v>#VALUE!</v>
      </c>
      <c r="J9" t="s">
        <v>18</v>
      </c>
      <c r="K9" t="s">
        <v>22</v>
      </c>
      <c r="L9" t="s">
        <v>28</v>
      </c>
      <c r="M9">
        <f>Table1[[#This Row],[Price]]*Table1[[#This Row],[Quantity]]</f>
        <v>1002.99</v>
      </c>
    </row>
    <row r="10" spans="2:13" x14ac:dyDescent="0.3">
      <c r="B10" s="3">
        <v>10460</v>
      </c>
      <c r="C10" s="4">
        <v>44874</v>
      </c>
      <c r="D10" t="s">
        <v>21</v>
      </c>
      <c r="E10" s="3">
        <v>12.99</v>
      </c>
      <c r="F10" s="20">
        <v>555</v>
      </c>
      <c r="G10" s="3">
        <v>4.32</v>
      </c>
      <c r="H10" t="e" vm="17">
        <v>#VALUE!</v>
      </c>
      <c r="I10" t="e" cm="1" vm="18">
        <f t="array" ref="I10">_FV(H10,"Country/region",TRUE)</f>
        <v>#VALUE!</v>
      </c>
      <c r="J10" t="s">
        <v>18</v>
      </c>
      <c r="K10" t="s">
        <v>22</v>
      </c>
      <c r="L10" t="s">
        <v>23</v>
      </c>
      <c r="M10">
        <f>Table1[[#This Row],[Price]]*Table1[[#This Row],[Quantity]]</f>
        <v>7209.45</v>
      </c>
    </row>
    <row r="11" spans="2:13" x14ac:dyDescent="0.3">
      <c r="B11" s="3">
        <v>10461</v>
      </c>
      <c r="C11" s="4">
        <v>44874</v>
      </c>
      <c r="D11" t="s">
        <v>25</v>
      </c>
      <c r="E11" s="3">
        <v>9.9499999999999993</v>
      </c>
      <c r="F11" s="20">
        <v>202</v>
      </c>
      <c r="G11" s="3">
        <v>2.85</v>
      </c>
      <c r="H11" t="e" vm="19">
        <v>#VALUE!</v>
      </c>
      <c r="I11" t="e" cm="1" vm="20">
        <f t="array" ref="I11">_FV(H11,"Country/region",TRUE)</f>
        <v>#VALUE!</v>
      </c>
      <c r="J11" t="s">
        <v>18</v>
      </c>
      <c r="K11" t="s">
        <v>22</v>
      </c>
      <c r="L11" t="s">
        <v>28</v>
      </c>
      <c r="M11">
        <f>Table1[[#This Row],[Price]]*Table1[[#This Row],[Quantity]]</f>
        <v>2009.8999999999999</v>
      </c>
    </row>
    <row r="12" spans="2:13" x14ac:dyDescent="0.3">
      <c r="B12" s="3">
        <v>10462</v>
      </c>
      <c r="C12" s="4">
        <v>44874</v>
      </c>
      <c r="D12" t="s">
        <v>9</v>
      </c>
      <c r="E12" s="3">
        <v>3.49</v>
      </c>
      <c r="F12" s="20">
        <v>574</v>
      </c>
      <c r="G12" s="3">
        <v>0.88</v>
      </c>
      <c r="H12" t="e" vm="19">
        <v>#VALUE!</v>
      </c>
      <c r="I12" t="e" cm="1" vm="20">
        <f t="array" ref="I12">_FV(H12,"Country/region",TRUE)</f>
        <v>#VALUE!</v>
      </c>
      <c r="J12" t="s">
        <v>18</v>
      </c>
      <c r="K12" t="s">
        <v>22</v>
      </c>
      <c r="L12" t="s">
        <v>28</v>
      </c>
      <c r="M12">
        <f>Table1[[#This Row],[Price]]*Table1[[#This Row],[Quantity]]</f>
        <v>2003.2600000000002</v>
      </c>
    </row>
    <row r="13" spans="2:13" x14ac:dyDescent="0.3">
      <c r="B13" s="3">
        <v>10463</v>
      </c>
      <c r="C13" s="4">
        <v>44874</v>
      </c>
      <c r="D13" t="s">
        <v>14</v>
      </c>
      <c r="E13" s="3">
        <v>2.95</v>
      </c>
      <c r="F13" s="20">
        <v>678</v>
      </c>
      <c r="G13" s="3">
        <v>0.47</v>
      </c>
      <c r="H13" t="e" vm="19">
        <v>#VALUE!</v>
      </c>
      <c r="I13" t="e" cm="1" vm="20">
        <f t="array" ref="I13">_FV(H13,"Country/region",TRUE)</f>
        <v>#VALUE!</v>
      </c>
      <c r="J13" t="s">
        <v>18</v>
      </c>
      <c r="K13" t="s">
        <v>22</v>
      </c>
      <c r="L13" t="s">
        <v>28</v>
      </c>
      <c r="M13">
        <f>Table1[[#This Row],[Price]]*Table1[[#This Row],[Quantity]]</f>
        <v>2000.1000000000001</v>
      </c>
    </row>
    <row r="14" spans="2:13" x14ac:dyDescent="0.3">
      <c r="B14" s="3">
        <v>10464</v>
      </c>
      <c r="C14" s="4">
        <v>44874</v>
      </c>
      <c r="D14" t="s">
        <v>17</v>
      </c>
      <c r="E14" s="3">
        <v>4.99</v>
      </c>
      <c r="F14" s="20">
        <v>201</v>
      </c>
      <c r="G14" s="3">
        <v>2.25</v>
      </c>
      <c r="H14" t="e" vm="19">
        <v>#VALUE!</v>
      </c>
      <c r="I14" t="e" cm="1" vm="20">
        <f t="array" ref="I14">_FV(H14,"Country/region",TRUE)</f>
        <v>#VALUE!</v>
      </c>
      <c r="J14" t="s">
        <v>18</v>
      </c>
      <c r="K14" t="s">
        <v>22</v>
      </c>
      <c r="L14" t="s">
        <v>28</v>
      </c>
      <c r="M14">
        <f>Table1[[#This Row],[Price]]*Table1[[#This Row],[Quantity]]</f>
        <v>1002.99</v>
      </c>
    </row>
    <row r="15" spans="2:13" x14ac:dyDescent="0.3">
      <c r="B15" s="3">
        <v>10465</v>
      </c>
      <c r="C15" s="4">
        <v>44875</v>
      </c>
      <c r="D15" t="s">
        <v>21</v>
      </c>
      <c r="E15" s="3">
        <v>12.99</v>
      </c>
      <c r="F15" s="20">
        <v>555</v>
      </c>
      <c r="G15" s="3">
        <v>4.32</v>
      </c>
      <c r="H15" t="e" vm="13">
        <v>#VALUE!</v>
      </c>
      <c r="I15" t="e" cm="1" vm="14">
        <f t="array" ref="I15">_FV(H15,"Country/region",TRUE)</f>
        <v>#VALUE!</v>
      </c>
      <c r="J15" t="s">
        <v>18</v>
      </c>
      <c r="K15" t="s">
        <v>22</v>
      </c>
      <c r="L15" t="s">
        <v>31</v>
      </c>
      <c r="M15">
        <f>Table1[[#This Row],[Price]]*Table1[[#This Row],[Quantity]]</f>
        <v>7209.45</v>
      </c>
    </row>
    <row r="16" spans="2:13" x14ac:dyDescent="0.3">
      <c r="B16" s="3">
        <v>10466</v>
      </c>
      <c r="C16" s="4">
        <v>44875</v>
      </c>
      <c r="D16" t="s">
        <v>25</v>
      </c>
      <c r="E16" s="3">
        <v>9.9499999999999993</v>
      </c>
      <c r="F16" s="20">
        <v>202</v>
      </c>
      <c r="G16" s="3">
        <v>2.85</v>
      </c>
      <c r="H16" t="e" vm="13">
        <v>#VALUE!</v>
      </c>
      <c r="I16" t="e" cm="1" vm="14">
        <f t="array" ref="I16">_FV(H16,"Country/region",TRUE)</f>
        <v>#VALUE!</v>
      </c>
      <c r="J16" t="s">
        <v>18</v>
      </c>
      <c r="K16" t="s">
        <v>22</v>
      </c>
      <c r="L16" t="s">
        <v>31</v>
      </c>
      <c r="M16">
        <f>Table1[[#This Row],[Price]]*Table1[[#This Row],[Quantity]]</f>
        <v>2009.8999999999999</v>
      </c>
    </row>
    <row r="17" spans="2:13" x14ac:dyDescent="0.3">
      <c r="B17" s="3">
        <v>10467</v>
      </c>
      <c r="C17" s="4">
        <v>44875</v>
      </c>
      <c r="D17" t="s">
        <v>9</v>
      </c>
      <c r="E17" s="3">
        <v>3.49</v>
      </c>
      <c r="F17" s="20">
        <v>574</v>
      </c>
      <c r="G17" s="3">
        <v>0.88</v>
      </c>
      <c r="H17" t="e" vm="13">
        <v>#VALUE!</v>
      </c>
      <c r="I17" t="e" cm="1" vm="14">
        <f t="array" ref="I17">_FV(H17,"Country/region",TRUE)</f>
        <v>#VALUE!</v>
      </c>
      <c r="J17" t="s">
        <v>18</v>
      </c>
      <c r="K17" t="s">
        <v>22</v>
      </c>
      <c r="L17" t="s">
        <v>31</v>
      </c>
      <c r="M17">
        <f>Table1[[#This Row],[Price]]*Table1[[#This Row],[Quantity]]</f>
        <v>2003.2600000000002</v>
      </c>
    </row>
    <row r="18" spans="2:13" x14ac:dyDescent="0.3">
      <c r="B18" s="3">
        <v>10468</v>
      </c>
      <c r="C18" s="4">
        <v>44875</v>
      </c>
      <c r="D18" t="s">
        <v>14</v>
      </c>
      <c r="E18" s="3">
        <v>2.95</v>
      </c>
      <c r="F18" s="20">
        <v>678</v>
      </c>
      <c r="G18" s="3">
        <v>0.47</v>
      </c>
      <c r="H18" t="e" vm="13">
        <v>#VALUE!</v>
      </c>
      <c r="I18" t="e" cm="1" vm="14">
        <f t="array" ref="I18">_FV(H18,"Country/region",TRUE)</f>
        <v>#VALUE!</v>
      </c>
      <c r="J18" t="s">
        <v>18</v>
      </c>
      <c r="K18" t="s">
        <v>22</v>
      </c>
      <c r="L18" t="s">
        <v>31</v>
      </c>
      <c r="M18">
        <f>Table1[[#This Row],[Price]]*Table1[[#This Row],[Quantity]]</f>
        <v>2000.1000000000001</v>
      </c>
    </row>
    <row r="19" spans="2:13" x14ac:dyDescent="0.3">
      <c r="B19" s="3">
        <v>10470</v>
      </c>
      <c r="C19" s="4">
        <v>44876</v>
      </c>
      <c r="D19" t="s">
        <v>21</v>
      </c>
      <c r="E19" s="3">
        <v>12.99</v>
      </c>
      <c r="F19" s="20">
        <v>555</v>
      </c>
      <c r="G19" s="3">
        <v>4.32</v>
      </c>
      <c r="H19" t="e" vm="13">
        <v>#VALUE!</v>
      </c>
      <c r="I19" t="e" cm="1" vm="14">
        <f t="array" ref="I19">_FV(H19,"Country/region",TRUE)</f>
        <v>#VALUE!</v>
      </c>
      <c r="J19" t="s">
        <v>18</v>
      </c>
      <c r="K19" t="s">
        <v>22</v>
      </c>
      <c r="L19" t="s">
        <v>31</v>
      </c>
      <c r="M19">
        <f>Table1[[#This Row],[Price]]*Table1[[#This Row],[Quantity]]</f>
        <v>7209.45</v>
      </c>
    </row>
    <row r="20" spans="2:13" x14ac:dyDescent="0.3">
      <c r="B20" s="3">
        <v>10471</v>
      </c>
      <c r="C20" s="4">
        <v>44876</v>
      </c>
      <c r="D20" t="s">
        <v>25</v>
      </c>
      <c r="E20" s="3">
        <v>9.9499999999999993</v>
      </c>
      <c r="F20" s="20">
        <v>202</v>
      </c>
      <c r="G20" s="3">
        <v>2.85</v>
      </c>
      <c r="H20" t="e" vm="13">
        <v>#VALUE!</v>
      </c>
      <c r="I20" t="e" cm="1" vm="14">
        <f t="array" ref="I20">_FV(H20,"Country/region",TRUE)</f>
        <v>#VALUE!</v>
      </c>
      <c r="J20" t="s">
        <v>18</v>
      </c>
      <c r="K20" t="s">
        <v>22</v>
      </c>
      <c r="L20" t="s">
        <v>31</v>
      </c>
      <c r="M20">
        <f>Table1[[#This Row],[Price]]*Table1[[#This Row],[Quantity]]</f>
        <v>2009.8999999999999</v>
      </c>
    </row>
    <row r="21" spans="2:13" x14ac:dyDescent="0.3">
      <c r="B21" s="3">
        <v>10472</v>
      </c>
      <c r="C21" s="4">
        <v>44876</v>
      </c>
      <c r="D21" t="s">
        <v>9</v>
      </c>
      <c r="E21" s="3">
        <v>3.49</v>
      </c>
      <c r="F21" s="20">
        <v>631</v>
      </c>
      <c r="G21" s="3">
        <v>0.88</v>
      </c>
      <c r="H21" t="e" vm="13">
        <v>#VALUE!</v>
      </c>
      <c r="I21" t="e" cm="1" vm="14">
        <f t="array" ref="I21">_FV(H21,"Country/region",TRUE)</f>
        <v>#VALUE!</v>
      </c>
      <c r="J21" t="s">
        <v>18</v>
      </c>
      <c r="K21" t="s">
        <v>22</v>
      </c>
      <c r="L21" t="s">
        <v>31</v>
      </c>
      <c r="M21">
        <f>Table1[[#This Row],[Price]]*Table1[[#This Row],[Quantity]]</f>
        <v>2202.19</v>
      </c>
    </row>
    <row r="22" spans="2:13" x14ac:dyDescent="0.3">
      <c r="B22" s="3">
        <v>10473</v>
      </c>
      <c r="C22" s="4">
        <v>44876</v>
      </c>
      <c r="D22" t="s">
        <v>14</v>
      </c>
      <c r="E22" s="3">
        <v>2.95</v>
      </c>
      <c r="F22" s="20">
        <v>678</v>
      </c>
      <c r="G22" s="3">
        <v>0.47</v>
      </c>
      <c r="H22" t="e" vm="13">
        <v>#VALUE!</v>
      </c>
      <c r="I22" t="e" cm="1" vm="14">
        <f t="array" ref="I22">_FV(H22,"Country/region",TRUE)</f>
        <v>#VALUE!</v>
      </c>
      <c r="J22" t="s">
        <v>18</v>
      </c>
      <c r="K22" t="s">
        <v>22</v>
      </c>
      <c r="L22" t="s">
        <v>31</v>
      </c>
      <c r="M22">
        <f>Table1[[#This Row],[Price]]*Table1[[#This Row],[Quantity]]</f>
        <v>2000.1000000000001</v>
      </c>
    </row>
    <row r="23" spans="2:13" x14ac:dyDescent="0.3">
      <c r="B23" s="3">
        <v>10474</v>
      </c>
      <c r="C23" s="4">
        <v>44876</v>
      </c>
      <c r="D23" t="s">
        <v>17</v>
      </c>
      <c r="E23" s="3">
        <v>4.99</v>
      </c>
      <c r="F23" s="20">
        <v>201</v>
      </c>
      <c r="G23" s="3">
        <v>2.25</v>
      </c>
      <c r="H23" t="e" vm="13">
        <v>#VALUE!</v>
      </c>
      <c r="I23" t="e" cm="1" vm="14">
        <f t="array" ref="I23">_FV(H23,"Country/region",TRUE)</f>
        <v>#VALUE!</v>
      </c>
      <c r="J23" t="s">
        <v>18</v>
      </c>
      <c r="K23" t="s">
        <v>22</v>
      </c>
      <c r="L23" t="s">
        <v>31</v>
      </c>
      <c r="M23">
        <f>Table1[[#This Row],[Price]]*Table1[[#This Row],[Quantity]]</f>
        <v>1002.99</v>
      </c>
    </row>
    <row r="24" spans="2:13" x14ac:dyDescent="0.3">
      <c r="B24" s="3">
        <v>10475</v>
      </c>
      <c r="C24" s="4">
        <v>44877</v>
      </c>
      <c r="D24" t="s">
        <v>21</v>
      </c>
      <c r="E24" s="3">
        <v>12.99</v>
      </c>
      <c r="F24" s="20">
        <v>524</v>
      </c>
      <c r="G24" s="3">
        <v>4.32</v>
      </c>
      <c r="H24" t="e" vm="13">
        <v>#VALUE!</v>
      </c>
      <c r="I24" t="e" cm="1" vm="14">
        <f t="array" ref="I24">_FV(H24,"Country/region",TRUE)</f>
        <v>#VALUE!</v>
      </c>
      <c r="J24" t="s">
        <v>18</v>
      </c>
      <c r="K24" t="s">
        <v>22</v>
      </c>
      <c r="L24" t="s">
        <v>31</v>
      </c>
      <c r="M24">
        <f>Table1[[#This Row],[Price]]*Table1[[#This Row],[Quantity]]</f>
        <v>6806.76</v>
      </c>
    </row>
    <row r="25" spans="2:13" x14ac:dyDescent="0.3">
      <c r="B25" s="3">
        <v>10476</v>
      </c>
      <c r="C25" s="4">
        <v>44877</v>
      </c>
      <c r="D25" t="s">
        <v>25</v>
      </c>
      <c r="E25" s="3">
        <v>9.9499999999999993</v>
      </c>
      <c r="F25" s="20">
        <v>202</v>
      </c>
      <c r="G25" s="3">
        <v>2.85</v>
      </c>
      <c r="H25" t="e" vm="13">
        <v>#VALUE!</v>
      </c>
      <c r="I25" t="e" cm="1" vm="14">
        <f t="array" ref="I25">_FV(H25,"Country/region",TRUE)</f>
        <v>#VALUE!</v>
      </c>
      <c r="J25" t="s">
        <v>18</v>
      </c>
      <c r="K25" t="s">
        <v>22</v>
      </c>
      <c r="L25" t="s">
        <v>31</v>
      </c>
      <c r="M25">
        <f>Table1[[#This Row],[Price]]*Table1[[#This Row],[Quantity]]</f>
        <v>2009.8999999999999</v>
      </c>
    </row>
    <row r="26" spans="2:13" x14ac:dyDescent="0.3">
      <c r="B26" s="3">
        <v>10477</v>
      </c>
      <c r="C26" s="4">
        <v>44877</v>
      </c>
      <c r="D26" t="s">
        <v>9</v>
      </c>
      <c r="E26" s="3">
        <v>3.49</v>
      </c>
      <c r="F26" s="20">
        <v>631</v>
      </c>
      <c r="G26" s="3">
        <v>0.88</v>
      </c>
      <c r="H26" t="e" vm="13">
        <v>#VALUE!</v>
      </c>
      <c r="I26" t="e" cm="1" vm="14">
        <f t="array" ref="I26">_FV(H26,"Country/region",TRUE)</f>
        <v>#VALUE!</v>
      </c>
      <c r="J26" t="s">
        <v>18</v>
      </c>
      <c r="K26" t="s">
        <v>22</v>
      </c>
      <c r="L26" t="s">
        <v>31</v>
      </c>
      <c r="M26">
        <f>Table1[[#This Row],[Price]]*Table1[[#This Row],[Quantity]]</f>
        <v>2202.19</v>
      </c>
    </row>
    <row r="27" spans="2:13" x14ac:dyDescent="0.3">
      <c r="B27" s="3">
        <v>10478</v>
      </c>
      <c r="C27" s="4">
        <v>44877</v>
      </c>
      <c r="D27" t="s">
        <v>14</v>
      </c>
      <c r="E27" s="3">
        <v>2.95</v>
      </c>
      <c r="F27" s="20">
        <v>678</v>
      </c>
      <c r="G27" s="3">
        <v>0.47</v>
      </c>
      <c r="H27" t="e" vm="13">
        <v>#VALUE!</v>
      </c>
      <c r="I27" t="e" cm="1" vm="14">
        <f t="array" ref="I27">_FV(H27,"Country/region",TRUE)</f>
        <v>#VALUE!</v>
      </c>
      <c r="J27" t="s">
        <v>18</v>
      </c>
      <c r="K27" t="s">
        <v>22</v>
      </c>
      <c r="L27" t="s">
        <v>31</v>
      </c>
      <c r="M27">
        <f>Table1[[#This Row],[Price]]*Table1[[#This Row],[Quantity]]</f>
        <v>2000.1000000000001</v>
      </c>
    </row>
    <row r="28" spans="2:13" x14ac:dyDescent="0.3">
      <c r="B28" s="3">
        <v>10479</v>
      </c>
      <c r="C28" s="4">
        <v>44877</v>
      </c>
      <c r="D28" t="s">
        <v>17</v>
      </c>
      <c r="E28" s="3">
        <v>4.99</v>
      </c>
      <c r="F28" s="20">
        <v>201</v>
      </c>
      <c r="G28" s="3">
        <v>2.25</v>
      </c>
      <c r="H28" t="e" vm="13">
        <v>#VALUE!</v>
      </c>
      <c r="I28" t="e" cm="1" vm="14">
        <f t="array" ref="I28">_FV(H28,"Country/region",TRUE)</f>
        <v>#VALUE!</v>
      </c>
      <c r="J28" t="s">
        <v>18</v>
      </c>
      <c r="K28" t="s">
        <v>22</v>
      </c>
      <c r="L28" t="s">
        <v>31</v>
      </c>
      <c r="M28">
        <f>Table1[[#This Row],[Price]]*Table1[[#This Row],[Quantity]]</f>
        <v>1002.99</v>
      </c>
    </row>
    <row r="29" spans="2:13" x14ac:dyDescent="0.3">
      <c r="B29" s="3">
        <v>10480</v>
      </c>
      <c r="C29" s="4">
        <v>44878</v>
      </c>
      <c r="D29" t="s">
        <v>21</v>
      </c>
      <c r="E29" s="3">
        <v>12.99</v>
      </c>
      <c r="F29" s="20">
        <v>509</v>
      </c>
      <c r="G29" s="3">
        <v>4.32</v>
      </c>
      <c r="H29" t="e" vm="13">
        <v>#VALUE!</v>
      </c>
      <c r="I29" t="e" cm="1" vm="14">
        <f t="array" ref="I29">_FV(H29,"Country/region",TRUE)</f>
        <v>#VALUE!</v>
      </c>
      <c r="J29" t="s">
        <v>18</v>
      </c>
      <c r="K29" t="s">
        <v>22</v>
      </c>
      <c r="L29" t="s">
        <v>31</v>
      </c>
      <c r="M29">
        <f>Table1[[#This Row],[Price]]*Table1[[#This Row],[Quantity]]</f>
        <v>6611.91</v>
      </c>
    </row>
    <row r="30" spans="2:13" x14ac:dyDescent="0.3">
      <c r="B30" s="3">
        <v>10481</v>
      </c>
      <c r="C30" s="4">
        <v>44878</v>
      </c>
      <c r="D30" t="s">
        <v>25</v>
      </c>
      <c r="E30" s="3">
        <v>9.9499999999999993</v>
      </c>
      <c r="F30" s="20">
        <v>202</v>
      </c>
      <c r="G30" s="3">
        <v>2.85</v>
      </c>
      <c r="H30" t="e" vm="13">
        <v>#VALUE!</v>
      </c>
      <c r="I30" t="e" cm="1" vm="14">
        <f t="array" ref="I30">_FV(H30,"Country/region",TRUE)</f>
        <v>#VALUE!</v>
      </c>
      <c r="J30" t="s">
        <v>18</v>
      </c>
      <c r="K30" t="s">
        <v>22</v>
      </c>
      <c r="L30" t="s">
        <v>31</v>
      </c>
      <c r="M30">
        <f>Table1[[#This Row],[Price]]*Table1[[#This Row],[Quantity]]</f>
        <v>2009.8999999999999</v>
      </c>
    </row>
    <row r="31" spans="2:13" x14ac:dyDescent="0.3">
      <c r="B31" s="3">
        <v>10482</v>
      </c>
      <c r="C31" s="4">
        <v>44878</v>
      </c>
      <c r="D31" t="s">
        <v>9</v>
      </c>
      <c r="E31" s="3">
        <v>25.5</v>
      </c>
      <c r="F31" s="20">
        <v>631</v>
      </c>
      <c r="G31" s="3">
        <v>0.88</v>
      </c>
      <c r="H31" t="e" vm="15">
        <v>#VALUE!</v>
      </c>
      <c r="I31" t="e" cm="1" vm="16">
        <f t="array" ref="I31">_FV(H31,"Country/region",TRUE)</f>
        <v>#VALUE!</v>
      </c>
      <c r="J31" t="s">
        <v>18</v>
      </c>
      <c r="K31" t="s">
        <v>22</v>
      </c>
      <c r="L31" t="s">
        <v>35</v>
      </c>
      <c r="M31">
        <f>Table1[[#This Row],[Price]]*Table1[[#This Row],[Quantity]]</f>
        <v>16090.5</v>
      </c>
    </row>
    <row r="32" spans="2:13" x14ac:dyDescent="0.3">
      <c r="B32" s="3">
        <v>10483</v>
      </c>
      <c r="C32" s="4">
        <v>44878</v>
      </c>
      <c r="D32" t="s">
        <v>14</v>
      </c>
      <c r="E32" s="3">
        <v>33.22</v>
      </c>
      <c r="F32" s="20">
        <v>678</v>
      </c>
      <c r="G32" s="3">
        <v>0.47</v>
      </c>
      <c r="H32" t="e" vm="15">
        <v>#VALUE!</v>
      </c>
      <c r="I32" t="e" cm="1" vm="16">
        <f t="array" ref="I32">_FV(H32,"Country/region",TRUE)</f>
        <v>#VALUE!</v>
      </c>
      <c r="J32" t="s">
        <v>18</v>
      </c>
      <c r="K32" t="s">
        <v>22</v>
      </c>
      <c r="L32" t="s">
        <v>35</v>
      </c>
      <c r="M32">
        <f>Table1[[#This Row],[Price]]*Table1[[#This Row],[Quantity]]</f>
        <v>22523.16</v>
      </c>
    </row>
    <row r="33" spans="2:13" x14ac:dyDescent="0.3">
      <c r="B33" s="3">
        <v>10484</v>
      </c>
      <c r="C33" s="4">
        <v>44878</v>
      </c>
      <c r="D33" t="s">
        <v>17</v>
      </c>
      <c r="E33" s="3">
        <v>21.44</v>
      </c>
      <c r="F33" s="20">
        <v>201</v>
      </c>
      <c r="G33" s="3">
        <v>2.25</v>
      </c>
      <c r="H33" t="e" vm="15">
        <v>#VALUE!</v>
      </c>
      <c r="I33" t="e" cm="1" vm="16">
        <f t="array" ref="I33">_FV(H33,"Country/region",TRUE)</f>
        <v>#VALUE!</v>
      </c>
      <c r="J33" t="s">
        <v>18</v>
      </c>
      <c r="K33" t="s">
        <v>22</v>
      </c>
      <c r="L33" t="s">
        <v>35</v>
      </c>
      <c r="M33">
        <f>Table1[[#This Row],[Price]]*Table1[[#This Row],[Quantity]]</f>
        <v>4309.4400000000005</v>
      </c>
    </row>
    <row r="34" spans="2:13" x14ac:dyDescent="0.3">
      <c r="B34" s="3">
        <v>10485</v>
      </c>
      <c r="C34" s="4">
        <v>44879</v>
      </c>
      <c r="D34" t="s">
        <v>21</v>
      </c>
      <c r="E34" s="3">
        <v>27.99</v>
      </c>
      <c r="F34" s="20">
        <v>524</v>
      </c>
      <c r="G34" s="3">
        <v>4.32</v>
      </c>
      <c r="H34" t="e" vm="15">
        <v>#VALUE!</v>
      </c>
      <c r="I34" t="e" cm="1" vm="16">
        <f t="array" ref="I34">_FV(H34,"Country/region",TRUE)</f>
        <v>#VALUE!</v>
      </c>
      <c r="J34" t="s">
        <v>18</v>
      </c>
      <c r="K34" t="s">
        <v>22</v>
      </c>
      <c r="L34" t="s">
        <v>35</v>
      </c>
      <c r="M34">
        <f>Table1[[#This Row],[Price]]*Table1[[#This Row],[Quantity]]</f>
        <v>14666.759999999998</v>
      </c>
    </row>
    <row r="35" spans="2:13" x14ac:dyDescent="0.3">
      <c r="B35" s="3">
        <v>10486</v>
      </c>
      <c r="C35" s="4">
        <v>44879</v>
      </c>
      <c r="D35" t="s">
        <v>25</v>
      </c>
      <c r="E35" s="3">
        <v>29.05</v>
      </c>
      <c r="F35" s="20">
        <v>202</v>
      </c>
      <c r="G35" s="3">
        <v>2.85</v>
      </c>
      <c r="H35" t="e" vm="15">
        <v>#VALUE!</v>
      </c>
      <c r="I35" t="e" cm="1" vm="16">
        <f t="array" ref="I35">_FV(H35,"Country/region",TRUE)</f>
        <v>#VALUE!</v>
      </c>
      <c r="J35" t="s">
        <v>18</v>
      </c>
      <c r="K35" t="s">
        <v>22</v>
      </c>
      <c r="L35" t="s">
        <v>35</v>
      </c>
      <c r="M35">
        <f>Table1[[#This Row],[Price]]*Table1[[#This Row],[Quantity]]</f>
        <v>5868.1</v>
      </c>
    </row>
    <row r="36" spans="2:13" x14ac:dyDescent="0.3">
      <c r="B36" s="3">
        <v>10487</v>
      </c>
      <c r="C36" s="4">
        <v>44879</v>
      </c>
      <c r="D36" t="s">
        <v>9</v>
      </c>
      <c r="E36" s="3">
        <v>3.49</v>
      </c>
      <c r="F36" s="20">
        <v>631</v>
      </c>
      <c r="G36" s="3">
        <v>0.88</v>
      </c>
      <c r="H36" t="e" vm="15">
        <v>#VALUE!</v>
      </c>
      <c r="I36" t="e" cm="1" vm="16">
        <f t="array" ref="I36">_FV(H36,"Country/region",TRUE)</f>
        <v>#VALUE!</v>
      </c>
      <c r="J36" t="s">
        <v>18</v>
      </c>
      <c r="K36" t="s">
        <v>22</v>
      </c>
      <c r="L36" t="s">
        <v>35</v>
      </c>
      <c r="M36">
        <f>Table1[[#This Row],[Price]]*Table1[[#This Row],[Quantity]]</f>
        <v>2202.19</v>
      </c>
    </row>
    <row r="37" spans="2:13" x14ac:dyDescent="0.3">
      <c r="B37" s="3">
        <v>10488</v>
      </c>
      <c r="C37" s="4">
        <v>44879</v>
      </c>
      <c r="D37" t="s">
        <v>14</v>
      </c>
      <c r="E37" s="3">
        <v>2.95</v>
      </c>
      <c r="F37" s="20">
        <v>678</v>
      </c>
      <c r="G37" s="3">
        <v>0.47</v>
      </c>
      <c r="H37" t="e" vm="15">
        <v>#VALUE!</v>
      </c>
      <c r="I37" t="e" cm="1" vm="16">
        <f t="array" ref="I37">_FV(H37,"Country/region",TRUE)</f>
        <v>#VALUE!</v>
      </c>
      <c r="J37" t="s">
        <v>18</v>
      </c>
      <c r="K37" t="s">
        <v>22</v>
      </c>
      <c r="L37" t="s">
        <v>35</v>
      </c>
      <c r="M37">
        <f>Table1[[#This Row],[Price]]*Table1[[#This Row],[Quantity]]</f>
        <v>2000.1000000000001</v>
      </c>
    </row>
    <row r="38" spans="2:13" x14ac:dyDescent="0.3">
      <c r="B38" s="3">
        <v>10489</v>
      </c>
      <c r="C38" s="4">
        <v>44879</v>
      </c>
      <c r="D38" t="s">
        <v>17</v>
      </c>
      <c r="E38" s="3">
        <v>4.99</v>
      </c>
      <c r="F38" s="20">
        <v>201</v>
      </c>
      <c r="G38" s="3">
        <v>2.25</v>
      </c>
      <c r="H38" t="e" vm="13">
        <v>#VALUE!</v>
      </c>
      <c r="I38" t="e" cm="1" vm="14">
        <f t="array" ref="I38">_FV(H38,"Country/region",TRUE)</f>
        <v>#VALUE!</v>
      </c>
      <c r="J38" t="s">
        <v>18</v>
      </c>
      <c r="K38" t="s">
        <v>22</v>
      </c>
      <c r="L38" t="s">
        <v>31</v>
      </c>
      <c r="M38">
        <f>Table1[[#This Row],[Price]]*Table1[[#This Row],[Quantity]]</f>
        <v>1002.99</v>
      </c>
    </row>
    <row r="39" spans="2:13" x14ac:dyDescent="0.3">
      <c r="B39" s="3">
        <v>10490</v>
      </c>
      <c r="C39" s="4">
        <v>44880</v>
      </c>
      <c r="D39" t="s">
        <v>21</v>
      </c>
      <c r="E39" s="3">
        <v>12.99</v>
      </c>
      <c r="F39" s="20">
        <v>509</v>
      </c>
      <c r="G39" s="3">
        <v>4.32</v>
      </c>
      <c r="H39" t="e" vm="13">
        <v>#VALUE!</v>
      </c>
      <c r="I39" t="e" cm="1" vm="14">
        <f t="array" ref="I39">_FV(H39,"Country/region",TRUE)</f>
        <v>#VALUE!</v>
      </c>
      <c r="J39" t="s">
        <v>18</v>
      </c>
      <c r="K39" t="s">
        <v>22</v>
      </c>
      <c r="L39" t="s">
        <v>31</v>
      </c>
      <c r="M39">
        <f>Table1[[#This Row],[Price]]*Table1[[#This Row],[Quantity]]</f>
        <v>6611.91</v>
      </c>
    </row>
    <row r="40" spans="2:13" x14ac:dyDescent="0.3">
      <c r="B40" s="3">
        <v>10491</v>
      </c>
      <c r="C40" s="4">
        <v>44880</v>
      </c>
      <c r="D40" t="s">
        <v>25</v>
      </c>
      <c r="E40" s="3">
        <v>9.9499999999999993</v>
      </c>
      <c r="F40" s="20">
        <v>202</v>
      </c>
      <c r="G40" s="3">
        <v>2.85</v>
      </c>
      <c r="H40" t="e" vm="13">
        <v>#VALUE!</v>
      </c>
      <c r="I40" t="e" cm="1" vm="14">
        <f t="array" ref="I40">_FV(H40,"Country/region",TRUE)</f>
        <v>#VALUE!</v>
      </c>
      <c r="J40" t="s">
        <v>18</v>
      </c>
      <c r="K40" t="s">
        <v>22</v>
      </c>
      <c r="L40" t="s">
        <v>31</v>
      </c>
      <c r="M40">
        <f>Table1[[#This Row],[Price]]*Table1[[#This Row],[Quantity]]</f>
        <v>2009.8999999999999</v>
      </c>
    </row>
    <row r="41" spans="2:13" x14ac:dyDescent="0.3">
      <c r="B41" s="3">
        <v>10492</v>
      </c>
      <c r="C41" s="4">
        <v>44880</v>
      </c>
      <c r="D41" t="s">
        <v>9</v>
      </c>
      <c r="E41" s="3">
        <v>3.49</v>
      </c>
      <c r="F41" s="20">
        <v>574</v>
      </c>
      <c r="G41" s="3">
        <v>0.88</v>
      </c>
      <c r="H41" t="e" vm="13">
        <v>#VALUE!</v>
      </c>
      <c r="I41" t="e" cm="1" vm="14">
        <f t="array" ref="I41">_FV(H41,"Country/region",TRUE)</f>
        <v>#VALUE!</v>
      </c>
      <c r="J41" t="s">
        <v>18</v>
      </c>
      <c r="K41" t="s">
        <v>22</v>
      </c>
      <c r="L41" t="s">
        <v>31</v>
      </c>
      <c r="M41">
        <f>Table1[[#This Row],[Price]]*Table1[[#This Row],[Quantity]]</f>
        <v>2003.2600000000002</v>
      </c>
    </row>
    <row r="42" spans="2:13" x14ac:dyDescent="0.3">
      <c r="B42" s="3">
        <v>10493</v>
      </c>
      <c r="C42" s="4">
        <v>44880</v>
      </c>
      <c r="D42" t="s">
        <v>14</v>
      </c>
      <c r="E42" s="3">
        <v>2.95</v>
      </c>
      <c r="F42" s="20">
        <v>678</v>
      </c>
      <c r="G42" s="3">
        <v>0.47</v>
      </c>
      <c r="H42" t="e" vm="13">
        <v>#VALUE!</v>
      </c>
      <c r="I42" t="e" cm="1" vm="14">
        <f t="array" ref="I42">_FV(H42,"Country/region",TRUE)</f>
        <v>#VALUE!</v>
      </c>
      <c r="J42" t="s">
        <v>18</v>
      </c>
      <c r="K42" t="s">
        <v>22</v>
      </c>
      <c r="L42" t="s">
        <v>31</v>
      </c>
      <c r="M42">
        <f>Table1[[#This Row],[Price]]*Table1[[#This Row],[Quantity]]</f>
        <v>2000.1000000000001</v>
      </c>
    </row>
    <row r="43" spans="2:13" x14ac:dyDescent="0.3">
      <c r="B43" s="3">
        <v>10494</v>
      </c>
      <c r="C43" s="4">
        <v>44880</v>
      </c>
      <c r="D43" t="s">
        <v>17</v>
      </c>
      <c r="E43" s="3">
        <v>4.99</v>
      </c>
      <c r="F43" s="20">
        <v>201</v>
      </c>
      <c r="G43" s="3">
        <v>2.25</v>
      </c>
      <c r="H43" t="e" vm="13">
        <v>#VALUE!</v>
      </c>
      <c r="I43" t="e" cm="1" vm="14">
        <f t="array" ref="I43">_FV(H43,"Country/region",TRUE)</f>
        <v>#VALUE!</v>
      </c>
      <c r="J43" t="s">
        <v>18</v>
      </c>
      <c r="K43" t="s">
        <v>22</v>
      </c>
      <c r="L43" t="s">
        <v>31</v>
      </c>
      <c r="M43">
        <f>Table1[[#This Row],[Price]]*Table1[[#This Row],[Quantity]]</f>
        <v>1002.99</v>
      </c>
    </row>
    <row r="44" spans="2:13" x14ac:dyDescent="0.3">
      <c r="B44" s="3">
        <v>10495</v>
      </c>
      <c r="C44" s="4">
        <v>44881</v>
      </c>
      <c r="D44" t="s">
        <v>21</v>
      </c>
      <c r="E44" s="3">
        <v>12.99</v>
      </c>
      <c r="F44" s="20">
        <v>509</v>
      </c>
      <c r="G44" s="3">
        <v>4.32</v>
      </c>
      <c r="H44" t="e" vm="13">
        <v>#VALUE!</v>
      </c>
      <c r="I44" t="e" cm="1" vm="14">
        <f t="array" ref="I44">_FV(H44,"Country/region",TRUE)</f>
        <v>#VALUE!</v>
      </c>
      <c r="J44" t="s">
        <v>18</v>
      </c>
      <c r="K44" t="s">
        <v>22</v>
      </c>
      <c r="L44" t="s">
        <v>31</v>
      </c>
      <c r="M44">
        <f>Table1[[#This Row],[Price]]*Table1[[#This Row],[Quantity]]</f>
        <v>6611.91</v>
      </c>
    </row>
    <row r="45" spans="2:13" x14ac:dyDescent="0.3">
      <c r="B45" s="3">
        <v>10496</v>
      </c>
      <c r="C45" s="4">
        <v>44881</v>
      </c>
      <c r="D45" t="s">
        <v>25</v>
      </c>
      <c r="E45" s="3">
        <v>9.9499999999999993</v>
      </c>
      <c r="F45" s="20">
        <v>202</v>
      </c>
      <c r="G45" s="3">
        <v>2.85</v>
      </c>
      <c r="H45" t="e" vm="13">
        <v>#VALUE!</v>
      </c>
      <c r="I45" t="e" cm="1" vm="14">
        <f t="array" ref="I45">_FV(H45,"Country/region",TRUE)</f>
        <v>#VALUE!</v>
      </c>
      <c r="J45" t="s">
        <v>18</v>
      </c>
      <c r="K45" t="s">
        <v>22</v>
      </c>
      <c r="L45" t="s">
        <v>31</v>
      </c>
      <c r="M45">
        <f>Table1[[#This Row],[Price]]*Table1[[#This Row],[Quantity]]</f>
        <v>2009.8999999999999</v>
      </c>
    </row>
    <row r="46" spans="2:13" x14ac:dyDescent="0.3">
      <c r="B46" s="3">
        <v>10497</v>
      </c>
      <c r="C46" s="4">
        <v>44881</v>
      </c>
      <c r="D46" t="s">
        <v>9</v>
      </c>
      <c r="E46" s="3">
        <v>3.49</v>
      </c>
      <c r="F46" s="20">
        <v>574</v>
      </c>
      <c r="G46" s="3">
        <v>0.88</v>
      </c>
      <c r="H46" t="e" vm="13">
        <v>#VALUE!</v>
      </c>
      <c r="I46" t="e" cm="1" vm="14">
        <f t="array" ref="I46">_FV(H46,"Country/region",TRUE)</f>
        <v>#VALUE!</v>
      </c>
      <c r="J46" t="s">
        <v>18</v>
      </c>
      <c r="K46" t="s">
        <v>22</v>
      </c>
      <c r="L46" t="s">
        <v>31</v>
      </c>
      <c r="M46">
        <f>Table1[[#This Row],[Price]]*Table1[[#This Row],[Quantity]]</f>
        <v>2003.2600000000002</v>
      </c>
    </row>
    <row r="47" spans="2:13" x14ac:dyDescent="0.3">
      <c r="B47" s="3">
        <v>10498</v>
      </c>
      <c r="C47" s="4">
        <v>44881</v>
      </c>
      <c r="D47" t="s">
        <v>14</v>
      </c>
      <c r="E47" s="3">
        <v>2.95</v>
      </c>
      <c r="F47" s="20">
        <v>678</v>
      </c>
      <c r="G47" s="3">
        <v>0.47</v>
      </c>
      <c r="H47" t="e" vm="13">
        <v>#VALUE!</v>
      </c>
      <c r="I47" t="e" cm="1" vm="14">
        <f t="array" ref="I47">_FV(H47,"Country/region",TRUE)</f>
        <v>#VALUE!</v>
      </c>
      <c r="J47" t="s">
        <v>36</v>
      </c>
      <c r="K47" t="s">
        <v>22</v>
      </c>
      <c r="L47" t="s">
        <v>31</v>
      </c>
      <c r="M47">
        <f>Table1[[#This Row],[Price]]*Table1[[#This Row],[Quantity]]</f>
        <v>2000.1000000000001</v>
      </c>
    </row>
    <row r="48" spans="2:13" x14ac:dyDescent="0.3">
      <c r="B48" s="3">
        <v>10499</v>
      </c>
      <c r="C48" s="4">
        <v>44881</v>
      </c>
      <c r="D48" t="s">
        <v>17</v>
      </c>
      <c r="E48" s="3">
        <v>4.99</v>
      </c>
      <c r="F48" s="20">
        <v>201</v>
      </c>
      <c r="G48" s="3">
        <v>2.25</v>
      </c>
      <c r="H48" t="e" vm="13">
        <v>#VALUE!</v>
      </c>
      <c r="I48" t="e" cm="1" vm="14">
        <f t="array" ref="I48">_FV(H48,"Country/region",TRUE)</f>
        <v>#VALUE!</v>
      </c>
      <c r="J48" t="s">
        <v>36</v>
      </c>
      <c r="K48" t="s">
        <v>22</v>
      </c>
      <c r="L48" t="s">
        <v>31</v>
      </c>
      <c r="M48">
        <f>Table1[[#This Row],[Price]]*Table1[[#This Row],[Quantity]]</f>
        <v>1002.99</v>
      </c>
    </row>
    <row r="49" spans="2:13" x14ac:dyDescent="0.3">
      <c r="B49" s="3">
        <v>10500</v>
      </c>
      <c r="C49" s="4">
        <v>44882</v>
      </c>
      <c r="D49" t="s">
        <v>21</v>
      </c>
      <c r="E49" s="3">
        <v>12.99</v>
      </c>
      <c r="F49" s="20">
        <v>524</v>
      </c>
      <c r="G49" s="3">
        <v>4.32</v>
      </c>
      <c r="H49" t="e" vm="13">
        <v>#VALUE!</v>
      </c>
      <c r="I49" t="e" cm="1" vm="14">
        <f t="array" ref="I49">_FV(H49,"Country/region",TRUE)</f>
        <v>#VALUE!</v>
      </c>
      <c r="J49" t="s">
        <v>36</v>
      </c>
      <c r="K49" t="s">
        <v>22</v>
      </c>
      <c r="L49" t="s">
        <v>31</v>
      </c>
      <c r="M49">
        <f>Table1[[#This Row],[Price]]*Table1[[#This Row],[Quantity]]</f>
        <v>6806.76</v>
      </c>
    </row>
    <row r="50" spans="2:13" x14ac:dyDescent="0.3">
      <c r="B50" s="3">
        <v>10501</v>
      </c>
      <c r="C50" s="4">
        <v>44882</v>
      </c>
      <c r="D50" t="s">
        <v>25</v>
      </c>
      <c r="E50" s="3">
        <v>9.9499999999999993</v>
      </c>
      <c r="F50" s="20">
        <v>202</v>
      </c>
      <c r="G50" s="3">
        <v>2.85</v>
      </c>
      <c r="H50" t="e" vm="13">
        <v>#VALUE!</v>
      </c>
      <c r="I50" t="e" cm="1" vm="14">
        <f t="array" ref="I50">_FV(H50,"Country/region",TRUE)</f>
        <v>#VALUE!</v>
      </c>
      <c r="J50" t="s">
        <v>36</v>
      </c>
      <c r="K50" t="s">
        <v>22</v>
      </c>
      <c r="L50" t="s">
        <v>31</v>
      </c>
      <c r="M50">
        <f>Table1[[#This Row],[Price]]*Table1[[#This Row],[Quantity]]</f>
        <v>2009.8999999999999</v>
      </c>
    </row>
    <row r="51" spans="2:13" x14ac:dyDescent="0.3">
      <c r="B51" s="3">
        <v>10502</v>
      </c>
      <c r="C51" s="4">
        <v>44882</v>
      </c>
      <c r="D51" t="s">
        <v>9</v>
      </c>
      <c r="E51" s="3">
        <v>3.49</v>
      </c>
      <c r="F51" s="20">
        <v>631</v>
      </c>
      <c r="G51" s="3">
        <v>0.88</v>
      </c>
      <c r="H51" t="e" vm="13">
        <v>#VALUE!</v>
      </c>
      <c r="I51" t="e" cm="1" vm="14">
        <f t="array" ref="I51">_FV(H51,"Country/region",TRUE)</f>
        <v>#VALUE!</v>
      </c>
      <c r="J51" t="s">
        <v>36</v>
      </c>
      <c r="K51" t="s">
        <v>22</v>
      </c>
      <c r="L51" t="s">
        <v>31</v>
      </c>
      <c r="M51">
        <f>Table1[[#This Row],[Price]]*Table1[[#This Row],[Quantity]]</f>
        <v>2202.19</v>
      </c>
    </row>
    <row r="52" spans="2:13" x14ac:dyDescent="0.3">
      <c r="B52" s="3">
        <v>10503</v>
      </c>
      <c r="C52" s="4">
        <v>44882</v>
      </c>
      <c r="D52" t="s">
        <v>14</v>
      </c>
      <c r="E52" s="3">
        <v>2.95</v>
      </c>
      <c r="F52" s="20">
        <v>678</v>
      </c>
      <c r="G52" s="3">
        <v>0.47</v>
      </c>
      <c r="H52" t="e" vm="13">
        <v>#VALUE!</v>
      </c>
      <c r="I52" t="e" cm="1" vm="14">
        <f t="array" ref="I52">_FV(H52,"Country/region",TRUE)</f>
        <v>#VALUE!</v>
      </c>
      <c r="J52" t="s">
        <v>36</v>
      </c>
      <c r="K52" t="s">
        <v>22</v>
      </c>
      <c r="L52" t="s">
        <v>31</v>
      </c>
      <c r="M52">
        <f>Table1[[#This Row],[Price]]*Table1[[#This Row],[Quantity]]</f>
        <v>2000.1000000000001</v>
      </c>
    </row>
    <row r="53" spans="2:13" x14ac:dyDescent="0.3">
      <c r="B53" s="3">
        <v>10504</v>
      </c>
      <c r="C53" s="4">
        <v>44882</v>
      </c>
      <c r="D53" t="s">
        <v>17</v>
      </c>
      <c r="E53" s="3">
        <v>4.99</v>
      </c>
      <c r="F53" s="20">
        <v>201</v>
      </c>
      <c r="G53" s="3">
        <v>2.25</v>
      </c>
      <c r="H53" t="e" vm="13">
        <v>#VALUE!</v>
      </c>
      <c r="I53" t="e" cm="1" vm="14">
        <f t="array" ref="I53">_FV(H53,"Country/region",TRUE)</f>
        <v>#VALUE!</v>
      </c>
      <c r="J53" t="s">
        <v>36</v>
      </c>
      <c r="K53" t="s">
        <v>22</v>
      </c>
      <c r="L53" t="s">
        <v>31</v>
      </c>
      <c r="M53">
        <f>Table1[[#This Row],[Price]]*Table1[[#This Row],[Quantity]]</f>
        <v>1002.99</v>
      </c>
    </row>
    <row r="54" spans="2:13" x14ac:dyDescent="0.3">
      <c r="B54" s="3">
        <v>10505</v>
      </c>
      <c r="C54" s="4">
        <v>44883</v>
      </c>
      <c r="D54" t="s">
        <v>21</v>
      </c>
      <c r="E54" s="3">
        <v>12.99</v>
      </c>
      <c r="F54" s="20">
        <v>539</v>
      </c>
      <c r="G54" s="3">
        <v>4.32</v>
      </c>
      <c r="H54" t="e" vm="13">
        <v>#VALUE!</v>
      </c>
      <c r="I54" t="e" cm="1" vm="14">
        <f t="array" ref="I54">_FV(H54,"Country/region",TRUE)</f>
        <v>#VALUE!</v>
      </c>
      <c r="J54" t="s">
        <v>36</v>
      </c>
      <c r="K54" t="s">
        <v>22</v>
      </c>
      <c r="L54" t="s">
        <v>31</v>
      </c>
      <c r="M54">
        <f>Table1[[#This Row],[Price]]*Table1[[#This Row],[Quantity]]</f>
        <v>7001.61</v>
      </c>
    </row>
    <row r="55" spans="2:13" x14ac:dyDescent="0.3">
      <c r="B55" s="3">
        <v>10506</v>
      </c>
      <c r="C55" s="4">
        <v>44883</v>
      </c>
      <c r="D55" t="s">
        <v>25</v>
      </c>
      <c r="E55" s="3">
        <v>9.9499999999999993</v>
      </c>
      <c r="F55" s="20">
        <v>202</v>
      </c>
      <c r="G55" s="3">
        <v>2.85</v>
      </c>
      <c r="H55" t="e" vm="13">
        <v>#VALUE!</v>
      </c>
      <c r="I55" t="e" cm="1" vm="14">
        <f t="array" ref="I55">_FV(H55,"Country/region",TRUE)</f>
        <v>#VALUE!</v>
      </c>
      <c r="J55" t="s">
        <v>36</v>
      </c>
      <c r="K55" t="s">
        <v>22</v>
      </c>
      <c r="L55" t="s">
        <v>31</v>
      </c>
      <c r="M55">
        <f>Table1[[#This Row],[Price]]*Table1[[#This Row],[Quantity]]</f>
        <v>2009.8999999999999</v>
      </c>
    </row>
    <row r="56" spans="2:13" x14ac:dyDescent="0.3">
      <c r="B56" s="3">
        <v>10507</v>
      </c>
      <c r="C56" s="4">
        <v>44883</v>
      </c>
      <c r="D56" t="s">
        <v>9</v>
      </c>
      <c r="E56" s="3">
        <v>3.49</v>
      </c>
      <c r="F56" s="20">
        <v>688</v>
      </c>
      <c r="G56" s="3">
        <v>0.88</v>
      </c>
      <c r="H56" t="e" vm="13">
        <v>#VALUE!</v>
      </c>
      <c r="I56" t="e" cm="1" vm="14">
        <f t="array" ref="I56">_FV(H56,"Country/region",TRUE)</f>
        <v>#VALUE!</v>
      </c>
      <c r="J56" t="s">
        <v>36</v>
      </c>
      <c r="K56" t="s">
        <v>22</v>
      </c>
      <c r="L56" t="s">
        <v>31</v>
      </c>
      <c r="M56">
        <f>Table1[[#This Row],[Price]]*Table1[[#This Row],[Quantity]]</f>
        <v>2401.1200000000003</v>
      </c>
    </row>
    <row r="57" spans="2:13" x14ac:dyDescent="0.3">
      <c r="B57" s="3">
        <v>10508</v>
      </c>
      <c r="C57" s="4">
        <v>44883</v>
      </c>
      <c r="D57" t="s">
        <v>14</v>
      </c>
      <c r="E57" s="3">
        <v>2.95</v>
      </c>
      <c r="F57" s="20">
        <v>678</v>
      </c>
      <c r="G57" s="3">
        <v>0.47</v>
      </c>
      <c r="H57" t="e" vm="13">
        <v>#VALUE!</v>
      </c>
      <c r="I57" t="e" cm="1" vm="14">
        <f t="array" ref="I57">_FV(H57,"Country/region",TRUE)</f>
        <v>#VALUE!</v>
      </c>
      <c r="J57" t="s">
        <v>36</v>
      </c>
      <c r="K57" t="s">
        <v>22</v>
      </c>
      <c r="L57" t="s">
        <v>31</v>
      </c>
      <c r="M57">
        <f>Table1[[#This Row],[Price]]*Table1[[#This Row],[Quantity]]</f>
        <v>2000.1000000000001</v>
      </c>
    </row>
    <row r="58" spans="2:13" x14ac:dyDescent="0.3">
      <c r="B58" s="3">
        <v>10509</v>
      </c>
      <c r="C58" s="4">
        <v>44883</v>
      </c>
      <c r="D58" t="s">
        <v>17</v>
      </c>
      <c r="E58" s="3">
        <v>4.99</v>
      </c>
      <c r="F58" s="20">
        <v>201</v>
      </c>
      <c r="G58" s="3">
        <v>2.25</v>
      </c>
      <c r="H58" t="e" vm="13">
        <v>#VALUE!</v>
      </c>
      <c r="I58" t="e" cm="1" vm="14">
        <f t="array" ref="I58">_FV(H58,"Country/region",TRUE)</f>
        <v>#VALUE!</v>
      </c>
      <c r="J58" t="s">
        <v>36</v>
      </c>
      <c r="K58" t="s">
        <v>22</v>
      </c>
      <c r="L58" t="s">
        <v>31</v>
      </c>
      <c r="M58">
        <f>Table1[[#This Row],[Price]]*Table1[[#This Row],[Quantity]]</f>
        <v>1002.99</v>
      </c>
    </row>
    <row r="59" spans="2:13" x14ac:dyDescent="0.3">
      <c r="B59" s="3">
        <v>10510</v>
      </c>
      <c r="C59" s="4">
        <v>44884</v>
      </c>
      <c r="D59" t="s">
        <v>21</v>
      </c>
      <c r="E59" s="3">
        <v>12.99</v>
      </c>
      <c r="F59" s="20">
        <v>509</v>
      </c>
      <c r="G59" s="3">
        <v>4.32</v>
      </c>
      <c r="H59" t="e" vm="13">
        <v>#VALUE!</v>
      </c>
      <c r="I59" t="e" cm="1" vm="14">
        <f t="array" ref="I59">_FV(H59,"Country/region",TRUE)</f>
        <v>#VALUE!</v>
      </c>
      <c r="J59" t="s">
        <v>36</v>
      </c>
      <c r="K59" t="s">
        <v>22</v>
      </c>
      <c r="L59" t="s">
        <v>31</v>
      </c>
      <c r="M59">
        <f>Table1[[#This Row],[Price]]*Table1[[#This Row],[Quantity]]</f>
        <v>6611.91</v>
      </c>
    </row>
    <row r="60" spans="2:13" x14ac:dyDescent="0.3">
      <c r="B60" s="3">
        <v>10511</v>
      </c>
      <c r="C60" s="4">
        <v>44884</v>
      </c>
      <c r="D60" t="s">
        <v>25</v>
      </c>
      <c r="E60" s="3">
        <v>9.9499999999999993</v>
      </c>
      <c r="F60" s="20">
        <v>202</v>
      </c>
      <c r="G60" s="3">
        <v>2.85</v>
      </c>
      <c r="H60" t="e" vm="15">
        <v>#VALUE!</v>
      </c>
      <c r="I60" t="e" cm="1" vm="16">
        <f t="array" ref="I60">_FV(H60,"Country/region",TRUE)</f>
        <v>#VALUE!</v>
      </c>
      <c r="J60" t="s">
        <v>36</v>
      </c>
      <c r="K60" t="s">
        <v>22</v>
      </c>
      <c r="L60" t="s">
        <v>35</v>
      </c>
      <c r="M60">
        <f>Table1[[#This Row],[Price]]*Table1[[#This Row],[Quantity]]</f>
        <v>2009.8999999999999</v>
      </c>
    </row>
    <row r="61" spans="2:13" x14ac:dyDescent="0.3">
      <c r="B61" s="3">
        <v>10512</v>
      </c>
      <c r="C61" s="4">
        <v>44884</v>
      </c>
      <c r="D61" t="s">
        <v>9</v>
      </c>
      <c r="E61" s="3">
        <v>3.49</v>
      </c>
      <c r="F61" s="20">
        <v>688</v>
      </c>
      <c r="G61" s="3">
        <v>0.88</v>
      </c>
      <c r="H61" t="e" vm="15">
        <v>#VALUE!</v>
      </c>
      <c r="I61" t="e" cm="1" vm="16">
        <f t="array" ref="I61">_FV(H61,"Country/region",TRUE)</f>
        <v>#VALUE!</v>
      </c>
      <c r="J61" t="s">
        <v>36</v>
      </c>
      <c r="K61" t="s">
        <v>22</v>
      </c>
      <c r="L61" t="s">
        <v>35</v>
      </c>
      <c r="M61">
        <f>Table1[[#This Row],[Price]]*Table1[[#This Row],[Quantity]]</f>
        <v>2401.1200000000003</v>
      </c>
    </row>
    <row r="62" spans="2:13" x14ac:dyDescent="0.3">
      <c r="B62" s="3">
        <v>10513</v>
      </c>
      <c r="C62" s="4">
        <v>44884</v>
      </c>
      <c r="D62" t="s">
        <v>14</v>
      </c>
      <c r="E62" s="3">
        <v>2.95</v>
      </c>
      <c r="F62" s="20">
        <v>678</v>
      </c>
      <c r="G62" s="3">
        <v>0.47</v>
      </c>
      <c r="H62" t="e" vm="15">
        <v>#VALUE!</v>
      </c>
      <c r="I62" t="e" cm="1" vm="16">
        <f t="array" ref="I62">_FV(H62,"Country/region",TRUE)</f>
        <v>#VALUE!</v>
      </c>
      <c r="J62" t="s">
        <v>36</v>
      </c>
      <c r="K62" t="s">
        <v>37</v>
      </c>
      <c r="L62" t="s">
        <v>35</v>
      </c>
      <c r="M62">
        <f>Table1[[#This Row],[Price]]*Table1[[#This Row],[Quantity]]</f>
        <v>2000.1000000000001</v>
      </c>
    </row>
    <row r="63" spans="2:13" x14ac:dyDescent="0.3">
      <c r="B63" s="3">
        <v>10514</v>
      </c>
      <c r="C63" s="4">
        <v>44884</v>
      </c>
      <c r="D63" t="s">
        <v>17</v>
      </c>
      <c r="E63" s="3">
        <v>4.99</v>
      </c>
      <c r="F63" s="20">
        <v>201</v>
      </c>
      <c r="G63" s="3">
        <v>2.25</v>
      </c>
      <c r="H63" t="e" vm="15">
        <v>#VALUE!</v>
      </c>
      <c r="I63" t="e" cm="1" vm="16">
        <f t="array" ref="I63">_FV(H63,"Country/region",TRUE)</f>
        <v>#VALUE!</v>
      </c>
      <c r="J63" t="s">
        <v>36</v>
      </c>
      <c r="K63" t="s">
        <v>37</v>
      </c>
      <c r="L63" t="s">
        <v>35</v>
      </c>
      <c r="M63">
        <f>Table1[[#This Row],[Price]]*Table1[[#This Row],[Quantity]]</f>
        <v>1002.99</v>
      </c>
    </row>
    <row r="64" spans="2:13" x14ac:dyDescent="0.3">
      <c r="B64" s="3">
        <v>10515</v>
      </c>
      <c r="C64" s="4">
        <v>44885</v>
      </c>
      <c r="D64" t="s">
        <v>21</v>
      </c>
      <c r="E64" s="3">
        <v>12.99</v>
      </c>
      <c r="F64" s="20">
        <v>478</v>
      </c>
      <c r="G64" s="3">
        <v>4.32</v>
      </c>
      <c r="H64" t="e" vm="15">
        <v>#VALUE!</v>
      </c>
      <c r="I64" t="e" cm="1" vm="16">
        <f t="array" ref="I64">_FV(H64,"Country/region",TRUE)</f>
        <v>#VALUE!</v>
      </c>
      <c r="J64" t="s">
        <v>36</v>
      </c>
      <c r="K64" t="s">
        <v>37</v>
      </c>
      <c r="L64" t="s">
        <v>35</v>
      </c>
      <c r="M64">
        <f>Table1[[#This Row],[Price]]*Table1[[#This Row],[Quantity]]</f>
        <v>6209.22</v>
      </c>
    </row>
    <row r="65" spans="2:13" x14ac:dyDescent="0.3">
      <c r="B65" s="3">
        <v>10516</v>
      </c>
      <c r="C65" s="4">
        <v>44885</v>
      </c>
      <c r="D65" t="s">
        <v>25</v>
      </c>
      <c r="E65" s="3">
        <v>9.9499999999999993</v>
      </c>
      <c r="F65" s="20">
        <v>202</v>
      </c>
      <c r="G65" s="3">
        <v>2.85</v>
      </c>
      <c r="H65" t="e" vm="15">
        <v>#VALUE!</v>
      </c>
      <c r="I65" t="e" cm="1" vm="16">
        <f t="array" ref="I65">_FV(H65,"Country/region",TRUE)</f>
        <v>#VALUE!</v>
      </c>
      <c r="J65" t="s">
        <v>36</v>
      </c>
      <c r="K65" t="s">
        <v>37</v>
      </c>
      <c r="L65" t="s">
        <v>35</v>
      </c>
      <c r="M65">
        <f>Table1[[#This Row],[Price]]*Table1[[#This Row],[Quantity]]</f>
        <v>2009.8999999999999</v>
      </c>
    </row>
    <row r="66" spans="2:13" x14ac:dyDescent="0.3">
      <c r="B66" s="3">
        <v>10520</v>
      </c>
      <c r="C66" s="4">
        <v>44886</v>
      </c>
      <c r="D66" t="s">
        <v>21</v>
      </c>
      <c r="E66" s="3">
        <v>12.99</v>
      </c>
      <c r="F66" s="20">
        <v>493</v>
      </c>
      <c r="G66" s="3">
        <v>4.32</v>
      </c>
      <c r="H66" t="e" vm="19">
        <v>#VALUE!</v>
      </c>
      <c r="I66" t="e" cm="1" vm="20">
        <f t="array" ref="I66">_FV(H66,"Country/region",TRUE)</f>
        <v>#VALUE!</v>
      </c>
      <c r="J66" t="s">
        <v>36</v>
      </c>
      <c r="K66" t="s">
        <v>37</v>
      </c>
      <c r="L66" t="s">
        <v>28</v>
      </c>
      <c r="M66">
        <f>Table1[[#This Row],[Price]]*Table1[[#This Row],[Quantity]]</f>
        <v>6404.07</v>
      </c>
    </row>
    <row r="67" spans="2:13" x14ac:dyDescent="0.3">
      <c r="B67" s="3">
        <v>10521</v>
      </c>
      <c r="C67" s="4">
        <v>44886</v>
      </c>
      <c r="D67" t="s">
        <v>25</v>
      </c>
      <c r="E67" s="3">
        <v>9.9499999999999993</v>
      </c>
      <c r="F67" s="20">
        <v>202</v>
      </c>
      <c r="G67" s="3">
        <v>2.85</v>
      </c>
      <c r="H67" t="e" vm="19">
        <v>#VALUE!</v>
      </c>
      <c r="I67" t="e" cm="1" vm="20">
        <f t="array" ref="I67">_FV(H67,"Country/region",TRUE)</f>
        <v>#VALUE!</v>
      </c>
      <c r="J67" t="s">
        <v>36</v>
      </c>
      <c r="K67" t="s">
        <v>37</v>
      </c>
      <c r="L67" t="s">
        <v>28</v>
      </c>
      <c r="M67">
        <f>Table1[[#This Row],[Price]]*Table1[[#This Row],[Quantity]]</f>
        <v>2009.8999999999999</v>
      </c>
    </row>
    <row r="68" spans="2:13" x14ac:dyDescent="0.3">
      <c r="B68" s="3">
        <v>10522</v>
      </c>
      <c r="C68" s="4">
        <v>44886</v>
      </c>
      <c r="D68" t="s">
        <v>9</v>
      </c>
      <c r="E68" s="3">
        <v>3.49</v>
      </c>
      <c r="F68" s="20">
        <v>688</v>
      </c>
      <c r="G68" s="3">
        <v>0.88</v>
      </c>
      <c r="H68" t="e" vm="19">
        <v>#VALUE!</v>
      </c>
      <c r="I68" t="e" cm="1" vm="20">
        <f t="array" ref="I68">_FV(H68,"Country/region",TRUE)</f>
        <v>#VALUE!</v>
      </c>
      <c r="J68" t="s">
        <v>36</v>
      </c>
      <c r="K68" t="s">
        <v>37</v>
      </c>
      <c r="L68" t="s">
        <v>28</v>
      </c>
      <c r="M68">
        <f>Table1[[#This Row],[Price]]*Table1[[#This Row],[Quantity]]</f>
        <v>2401.1200000000003</v>
      </c>
    </row>
    <row r="69" spans="2:13" x14ac:dyDescent="0.3">
      <c r="B69" s="3">
        <v>10523</v>
      </c>
      <c r="C69" s="4">
        <v>44886</v>
      </c>
      <c r="D69" t="s">
        <v>14</v>
      </c>
      <c r="E69" s="3">
        <v>2.95</v>
      </c>
      <c r="F69" s="20">
        <v>746</v>
      </c>
      <c r="G69" s="3">
        <v>0.47</v>
      </c>
      <c r="H69" t="e" vm="19">
        <v>#VALUE!</v>
      </c>
      <c r="I69" t="e" cm="1" vm="20">
        <f t="array" ref="I69">_FV(H69,"Country/region",TRUE)</f>
        <v>#VALUE!</v>
      </c>
      <c r="J69" t="s">
        <v>36</v>
      </c>
      <c r="K69" t="s">
        <v>37</v>
      </c>
      <c r="L69" t="s">
        <v>28</v>
      </c>
      <c r="M69">
        <f>Table1[[#This Row],[Price]]*Table1[[#This Row],[Quantity]]</f>
        <v>2200.7000000000003</v>
      </c>
    </row>
    <row r="70" spans="2:13" x14ac:dyDescent="0.3">
      <c r="B70" s="3">
        <v>10524</v>
      </c>
      <c r="C70" s="4">
        <v>44886</v>
      </c>
      <c r="D70" t="s">
        <v>17</v>
      </c>
      <c r="E70" s="3">
        <v>4.99</v>
      </c>
      <c r="F70" s="20">
        <v>201</v>
      </c>
      <c r="G70" s="3">
        <v>2.25</v>
      </c>
      <c r="H70" t="e" vm="19">
        <v>#VALUE!</v>
      </c>
      <c r="I70" t="e" cm="1" vm="20">
        <f t="array" ref="I70">_FV(H70,"Country/region",TRUE)</f>
        <v>#VALUE!</v>
      </c>
      <c r="J70" t="s">
        <v>36</v>
      </c>
      <c r="K70" t="s">
        <v>37</v>
      </c>
      <c r="L70" t="s">
        <v>28</v>
      </c>
      <c r="M70">
        <f>Table1[[#This Row],[Price]]*Table1[[#This Row],[Quantity]]</f>
        <v>1002.99</v>
      </c>
    </row>
    <row r="71" spans="2:13" x14ac:dyDescent="0.3">
      <c r="B71" s="3">
        <v>10525</v>
      </c>
      <c r="C71" s="4">
        <v>44887</v>
      </c>
      <c r="D71" t="s">
        <v>21</v>
      </c>
      <c r="E71" s="3">
        <v>12.99</v>
      </c>
      <c r="F71" s="20">
        <v>462</v>
      </c>
      <c r="G71" s="3">
        <v>4.32</v>
      </c>
      <c r="H71" t="e" vm="19">
        <v>#VALUE!</v>
      </c>
      <c r="I71" t="e" cm="1" vm="20">
        <f t="array" ref="I71">_FV(H71,"Country/region",TRUE)</f>
        <v>#VALUE!</v>
      </c>
      <c r="J71" t="s">
        <v>36</v>
      </c>
      <c r="K71" t="s">
        <v>37</v>
      </c>
      <c r="L71" t="s">
        <v>28</v>
      </c>
      <c r="M71">
        <f>Table1[[#This Row],[Price]]*Table1[[#This Row],[Quantity]]</f>
        <v>6001.38</v>
      </c>
    </row>
    <row r="72" spans="2:13" x14ac:dyDescent="0.3">
      <c r="B72" s="3">
        <v>10526</v>
      </c>
      <c r="C72" s="4">
        <v>44887</v>
      </c>
      <c r="D72" t="s">
        <v>25</v>
      </c>
      <c r="E72" s="3">
        <v>9.9499999999999993</v>
      </c>
      <c r="F72" s="20">
        <v>202</v>
      </c>
      <c r="G72" s="3">
        <v>2.85</v>
      </c>
      <c r="H72" t="e" vm="19">
        <v>#VALUE!</v>
      </c>
      <c r="I72" t="e" cm="1" vm="20">
        <f t="array" ref="I72">_FV(H72,"Country/region",TRUE)</f>
        <v>#VALUE!</v>
      </c>
      <c r="J72" t="s">
        <v>36</v>
      </c>
      <c r="K72" t="s">
        <v>37</v>
      </c>
      <c r="L72" t="s">
        <v>28</v>
      </c>
      <c r="M72">
        <f>Table1[[#This Row],[Price]]*Table1[[#This Row],[Quantity]]</f>
        <v>2009.8999999999999</v>
      </c>
    </row>
    <row r="73" spans="2:13" x14ac:dyDescent="0.3">
      <c r="B73" s="3">
        <v>10527</v>
      </c>
      <c r="C73" s="4">
        <v>44887</v>
      </c>
      <c r="D73" t="s">
        <v>9</v>
      </c>
      <c r="E73" s="3">
        <v>3.49</v>
      </c>
      <c r="F73" s="20">
        <v>688</v>
      </c>
      <c r="G73" s="3">
        <v>0.88</v>
      </c>
      <c r="H73" t="e" vm="19">
        <v>#VALUE!</v>
      </c>
      <c r="I73" t="e" cm="1" vm="20">
        <f t="array" ref="I73">_FV(H73,"Country/region",TRUE)</f>
        <v>#VALUE!</v>
      </c>
      <c r="J73" t="s">
        <v>36</v>
      </c>
      <c r="K73" t="s">
        <v>37</v>
      </c>
      <c r="L73" t="s">
        <v>28</v>
      </c>
      <c r="M73">
        <f>Table1[[#This Row],[Price]]*Table1[[#This Row],[Quantity]]</f>
        <v>2401.1200000000003</v>
      </c>
    </row>
    <row r="74" spans="2:13" x14ac:dyDescent="0.3">
      <c r="B74" s="3">
        <v>10528</v>
      </c>
      <c r="C74" s="4">
        <v>44887</v>
      </c>
      <c r="D74" t="s">
        <v>14</v>
      </c>
      <c r="E74" s="3">
        <v>2.95</v>
      </c>
      <c r="F74" s="20">
        <v>746</v>
      </c>
      <c r="G74" s="3">
        <v>0.47</v>
      </c>
      <c r="H74" t="e" vm="19">
        <v>#VALUE!</v>
      </c>
      <c r="I74" t="e" cm="1" vm="20">
        <f t="array" ref="I74">_FV(H74,"Country/region",TRUE)</f>
        <v>#VALUE!</v>
      </c>
      <c r="J74" t="s">
        <v>36</v>
      </c>
      <c r="K74" t="s">
        <v>37</v>
      </c>
      <c r="L74" t="s">
        <v>28</v>
      </c>
      <c r="M74">
        <f>Table1[[#This Row],[Price]]*Table1[[#This Row],[Quantity]]</f>
        <v>2200.7000000000003</v>
      </c>
    </row>
    <row r="75" spans="2:13" x14ac:dyDescent="0.3">
      <c r="B75" s="3">
        <v>10529</v>
      </c>
      <c r="C75" s="4">
        <v>44887</v>
      </c>
      <c r="D75" t="s">
        <v>17</v>
      </c>
      <c r="E75" s="3">
        <v>4.99</v>
      </c>
      <c r="F75" s="20">
        <v>201</v>
      </c>
      <c r="G75" s="3">
        <v>2.25</v>
      </c>
      <c r="H75" t="e" vm="19">
        <v>#VALUE!</v>
      </c>
      <c r="I75" t="e" cm="1" vm="20">
        <f t="array" ref="I75">_FV(H75,"Country/region",TRUE)</f>
        <v>#VALUE!</v>
      </c>
      <c r="J75" t="s">
        <v>36</v>
      </c>
      <c r="K75" t="s">
        <v>37</v>
      </c>
      <c r="L75" t="s">
        <v>28</v>
      </c>
      <c r="M75">
        <f>Table1[[#This Row],[Price]]*Table1[[#This Row],[Quantity]]</f>
        <v>1002.99</v>
      </c>
    </row>
    <row r="76" spans="2:13" x14ac:dyDescent="0.3">
      <c r="B76" s="3">
        <v>10530</v>
      </c>
      <c r="C76" s="4">
        <v>44888</v>
      </c>
      <c r="D76" t="s">
        <v>21</v>
      </c>
      <c r="E76" s="3">
        <v>12.99</v>
      </c>
      <c r="F76" s="20">
        <v>478</v>
      </c>
      <c r="G76" s="3">
        <v>4.32</v>
      </c>
      <c r="H76" t="e" vm="19">
        <v>#VALUE!</v>
      </c>
      <c r="I76" t="e" cm="1" vm="20">
        <f t="array" ref="I76">_FV(H76,"Country/region",TRUE)</f>
        <v>#VALUE!</v>
      </c>
      <c r="J76" t="s">
        <v>36</v>
      </c>
      <c r="K76" t="s">
        <v>37</v>
      </c>
      <c r="L76" t="s">
        <v>28</v>
      </c>
      <c r="M76">
        <f>Table1[[#This Row],[Price]]*Table1[[#This Row],[Quantity]]</f>
        <v>6209.22</v>
      </c>
    </row>
    <row r="77" spans="2:13" x14ac:dyDescent="0.3">
      <c r="B77" s="3">
        <v>10531</v>
      </c>
      <c r="C77" s="4">
        <v>44888</v>
      </c>
      <c r="D77" t="s">
        <v>25</v>
      </c>
      <c r="E77" s="3">
        <v>9.9499999999999993</v>
      </c>
      <c r="F77" s="20">
        <v>202</v>
      </c>
      <c r="G77" s="3">
        <v>2.85</v>
      </c>
      <c r="H77" t="e" vm="19">
        <v>#VALUE!</v>
      </c>
      <c r="I77" t="e" cm="1" vm="20">
        <f t="array" ref="I77">_FV(H77,"Country/region",TRUE)</f>
        <v>#VALUE!</v>
      </c>
      <c r="J77" t="s">
        <v>36</v>
      </c>
      <c r="K77" t="s">
        <v>37</v>
      </c>
      <c r="L77" t="s">
        <v>28</v>
      </c>
      <c r="M77">
        <f>Table1[[#This Row],[Price]]*Table1[[#This Row],[Quantity]]</f>
        <v>2009.8999999999999</v>
      </c>
    </row>
    <row r="78" spans="2:13" x14ac:dyDescent="0.3">
      <c r="B78" s="3">
        <v>10532</v>
      </c>
      <c r="C78" s="4">
        <v>44888</v>
      </c>
      <c r="D78" t="s">
        <v>9</v>
      </c>
      <c r="E78" s="3">
        <v>3.49</v>
      </c>
      <c r="F78" s="20">
        <v>688</v>
      </c>
      <c r="G78" s="3">
        <v>0.88</v>
      </c>
      <c r="H78" t="e" vm="15">
        <v>#VALUE!</v>
      </c>
      <c r="I78" t="e" cm="1" vm="16">
        <f t="array" ref="I78">_FV(H78,"Country/region",TRUE)</f>
        <v>#VALUE!</v>
      </c>
      <c r="J78" t="s">
        <v>36</v>
      </c>
      <c r="K78" t="s">
        <v>37</v>
      </c>
      <c r="L78" t="s">
        <v>35</v>
      </c>
      <c r="M78">
        <f>Table1[[#This Row],[Price]]*Table1[[#This Row],[Quantity]]</f>
        <v>2401.1200000000003</v>
      </c>
    </row>
    <row r="79" spans="2:13" x14ac:dyDescent="0.3">
      <c r="B79" s="3">
        <v>10533</v>
      </c>
      <c r="C79" s="4">
        <v>44888</v>
      </c>
      <c r="D79" t="s">
        <v>14</v>
      </c>
      <c r="E79" s="3">
        <v>2.95</v>
      </c>
      <c r="F79" s="20">
        <v>746</v>
      </c>
      <c r="G79" s="3">
        <v>0.47</v>
      </c>
      <c r="H79" t="e" vm="15">
        <v>#VALUE!</v>
      </c>
      <c r="I79" t="e" cm="1" vm="16">
        <f t="array" ref="I79">_FV(H79,"Country/region",TRUE)</f>
        <v>#VALUE!</v>
      </c>
      <c r="J79" t="s">
        <v>36</v>
      </c>
      <c r="K79" t="s">
        <v>37</v>
      </c>
      <c r="L79" t="s">
        <v>35</v>
      </c>
      <c r="M79">
        <f>Table1[[#This Row],[Price]]*Table1[[#This Row],[Quantity]]</f>
        <v>2200.7000000000003</v>
      </c>
    </row>
    <row r="80" spans="2:13" x14ac:dyDescent="0.3">
      <c r="B80" s="3">
        <v>10534</v>
      </c>
      <c r="C80" s="4">
        <v>44888</v>
      </c>
      <c r="D80" t="s">
        <v>17</v>
      </c>
      <c r="E80" s="3">
        <v>4.99</v>
      </c>
      <c r="F80" s="20">
        <v>201</v>
      </c>
      <c r="G80" s="3">
        <v>2.25</v>
      </c>
      <c r="H80" t="e" vm="13">
        <v>#VALUE!</v>
      </c>
      <c r="I80" t="e" cm="1" vm="14">
        <f t="array" ref="I80">_FV(H80,"Country/region",TRUE)</f>
        <v>#VALUE!</v>
      </c>
      <c r="J80" t="s">
        <v>36</v>
      </c>
      <c r="K80" t="s">
        <v>37</v>
      </c>
      <c r="L80" t="s">
        <v>31</v>
      </c>
      <c r="M80">
        <f>Table1[[#This Row],[Price]]*Table1[[#This Row],[Quantity]]</f>
        <v>1002.99</v>
      </c>
    </row>
    <row r="81" spans="2:13" x14ac:dyDescent="0.3">
      <c r="B81" s="3">
        <v>10535</v>
      </c>
      <c r="C81" s="4">
        <v>44889</v>
      </c>
      <c r="D81" t="s">
        <v>21</v>
      </c>
      <c r="E81" s="3">
        <v>12.99</v>
      </c>
      <c r="F81" s="20">
        <v>478</v>
      </c>
      <c r="G81" s="3">
        <v>4.32</v>
      </c>
      <c r="H81" t="e" vm="13">
        <v>#VALUE!</v>
      </c>
      <c r="I81" t="e" cm="1" vm="14">
        <f t="array" ref="I81">_FV(H81,"Country/region",TRUE)</f>
        <v>#VALUE!</v>
      </c>
      <c r="J81" t="s">
        <v>36</v>
      </c>
      <c r="K81" t="s">
        <v>22</v>
      </c>
      <c r="L81" t="s">
        <v>31</v>
      </c>
      <c r="M81">
        <f>Table1[[#This Row],[Price]]*Table1[[#This Row],[Quantity]]</f>
        <v>6209.22</v>
      </c>
    </row>
    <row r="82" spans="2:13" x14ac:dyDescent="0.3">
      <c r="B82" s="3">
        <v>10536</v>
      </c>
      <c r="C82" s="4">
        <v>44889</v>
      </c>
      <c r="D82" t="s">
        <v>25</v>
      </c>
      <c r="E82" s="3">
        <v>9.9499999999999993</v>
      </c>
      <c r="F82" s="20">
        <v>202</v>
      </c>
      <c r="G82" s="3">
        <v>2.85</v>
      </c>
      <c r="H82" t="e" vm="13">
        <v>#VALUE!</v>
      </c>
      <c r="I82" t="e" cm="1" vm="14">
        <f t="array" ref="I82">_FV(H82,"Country/region",TRUE)</f>
        <v>#VALUE!</v>
      </c>
      <c r="J82" t="s">
        <v>36</v>
      </c>
      <c r="K82" t="s">
        <v>22</v>
      </c>
      <c r="L82" t="s">
        <v>31</v>
      </c>
      <c r="M82">
        <f>Table1[[#This Row],[Price]]*Table1[[#This Row],[Quantity]]</f>
        <v>2009.8999999999999</v>
      </c>
    </row>
    <row r="83" spans="2:13" x14ac:dyDescent="0.3">
      <c r="B83" s="3">
        <v>10537</v>
      </c>
      <c r="C83" s="4">
        <v>44889</v>
      </c>
      <c r="D83" t="s">
        <v>9</v>
      </c>
      <c r="E83" s="3">
        <v>3.49</v>
      </c>
      <c r="F83" s="20">
        <v>631</v>
      </c>
      <c r="G83" s="3">
        <v>0.88</v>
      </c>
      <c r="H83" t="e" vm="13">
        <v>#VALUE!</v>
      </c>
      <c r="I83" t="e" cm="1" vm="14">
        <f t="array" ref="I83">_FV(H83,"Country/region",TRUE)</f>
        <v>#VALUE!</v>
      </c>
      <c r="J83" t="s">
        <v>36</v>
      </c>
      <c r="K83" t="s">
        <v>22</v>
      </c>
      <c r="L83" t="s">
        <v>31</v>
      </c>
      <c r="M83">
        <f>Table1[[#This Row],[Price]]*Table1[[#This Row],[Quantity]]</f>
        <v>2202.19</v>
      </c>
    </row>
    <row r="84" spans="2:13" x14ac:dyDescent="0.3">
      <c r="B84" s="3">
        <v>10538</v>
      </c>
      <c r="C84" s="4">
        <v>44889</v>
      </c>
      <c r="D84" t="s">
        <v>14</v>
      </c>
      <c r="E84" s="3">
        <v>2.95</v>
      </c>
      <c r="F84" s="20">
        <v>746</v>
      </c>
      <c r="G84" s="3">
        <v>0.47</v>
      </c>
      <c r="H84" t="e" vm="13">
        <v>#VALUE!</v>
      </c>
      <c r="I84" t="e" cm="1" vm="14">
        <f t="array" ref="I84">_FV(H84,"Country/region",TRUE)</f>
        <v>#VALUE!</v>
      </c>
      <c r="J84" t="s">
        <v>36</v>
      </c>
      <c r="K84" t="s">
        <v>22</v>
      </c>
      <c r="L84" t="s">
        <v>31</v>
      </c>
      <c r="M84">
        <f>Table1[[#This Row],[Price]]*Table1[[#This Row],[Quantity]]</f>
        <v>2200.7000000000003</v>
      </c>
    </row>
    <row r="85" spans="2:13" x14ac:dyDescent="0.3">
      <c r="B85" s="3">
        <v>10539</v>
      </c>
      <c r="C85" s="4">
        <v>44889</v>
      </c>
      <c r="D85" t="s">
        <v>17</v>
      </c>
      <c r="E85" s="3">
        <v>4.99</v>
      </c>
      <c r="F85" s="20">
        <v>201</v>
      </c>
      <c r="G85" s="3">
        <v>2.25</v>
      </c>
      <c r="H85" t="e" vm="13">
        <v>#VALUE!</v>
      </c>
      <c r="I85" t="e" cm="1" vm="14">
        <f t="array" ref="I85">_FV(H85,"Country/region",TRUE)</f>
        <v>#VALUE!</v>
      </c>
      <c r="J85" t="s">
        <v>36</v>
      </c>
      <c r="K85" t="s">
        <v>22</v>
      </c>
      <c r="L85" t="s">
        <v>31</v>
      </c>
      <c r="M85">
        <f>Table1[[#This Row],[Price]]*Table1[[#This Row],[Quantity]]</f>
        <v>1002.99</v>
      </c>
    </row>
    <row r="86" spans="2:13" x14ac:dyDescent="0.3">
      <c r="B86" s="3">
        <v>10540</v>
      </c>
      <c r="C86" s="4">
        <v>44890</v>
      </c>
      <c r="D86" t="s">
        <v>21</v>
      </c>
      <c r="E86" s="3">
        <v>12.99</v>
      </c>
      <c r="F86" s="20">
        <v>462</v>
      </c>
      <c r="G86" s="3">
        <v>4.32</v>
      </c>
      <c r="H86" t="e" vm="13">
        <v>#VALUE!</v>
      </c>
      <c r="I86" t="e" cm="1" vm="14">
        <f t="array" ref="I86">_FV(H86,"Country/region",TRUE)</f>
        <v>#VALUE!</v>
      </c>
      <c r="J86" t="s">
        <v>36</v>
      </c>
      <c r="K86" t="s">
        <v>22</v>
      </c>
      <c r="L86" t="s">
        <v>31</v>
      </c>
      <c r="M86">
        <f>Table1[[#This Row],[Price]]*Table1[[#This Row],[Quantity]]</f>
        <v>6001.38</v>
      </c>
    </row>
    <row r="87" spans="2:13" x14ac:dyDescent="0.3">
      <c r="B87" s="3">
        <v>10541</v>
      </c>
      <c r="C87" s="4">
        <v>44890</v>
      </c>
      <c r="D87" t="s">
        <v>25</v>
      </c>
      <c r="E87" s="3">
        <v>9.9499999999999993</v>
      </c>
      <c r="F87" s="20">
        <v>202</v>
      </c>
      <c r="G87" s="3">
        <v>2.85</v>
      </c>
      <c r="H87" t="e" vm="11">
        <v>#VALUE!</v>
      </c>
      <c r="I87" t="e" cm="1" vm="12">
        <f t="array" ref="I87">_FV(H87,"Country/region",TRUE)</f>
        <v>#VALUE!</v>
      </c>
      <c r="J87" t="s">
        <v>36</v>
      </c>
      <c r="K87" t="s">
        <v>22</v>
      </c>
      <c r="L87" t="s">
        <v>38</v>
      </c>
      <c r="M87">
        <f>Table1[[#This Row],[Price]]*Table1[[#This Row],[Quantity]]</f>
        <v>2009.8999999999999</v>
      </c>
    </row>
    <row r="88" spans="2:13" x14ac:dyDescent="0.3">
      <c r="B88" s="3">
        <v>10542</v>
      </c>
      <c r="C88" s="4">
        <v>44890</v>
      </c>
      <c r="D88" t="s">
        <v>9</v>
      </c>
      <c r="E88" s="3">
        <v>3.49</v>
      </c>
      <c r="F88" s="20">
        <v>631</v>
      </c>
      <c r="G88" s="3">
        <v>0.88</v>
      </c>
      <c r="H88" t="e" vm="11">
        <v>#VALUE!</v>
      </c>
      <c r="I88" t="e" cm="1" vm="12">
        <f t="array" ref="I88">_FV(H88,"Country/region",TRUE)</f>
        <v>#VALUE!</v>
      </c>
      <c r="J88" t="s">
        <v>36</v>
      </c>
      <c r="K88" t="s">
        <v>22</v>
      </c>
      <c r="L88" t="s">
        <v>38</v>
      </c>
      <c r="M88">
        <f>Table1[[#This Row],[Price]]*Table1[[#This Row],[Quantity]]</f>
        <v>2202.19</v>
      </c>
    </row>
    <row r="89" spans="2:13" x14ac:dyDescent="0.3">
      <c r="B89" s="3">
        <v>10543</v>
      </c>
      <c r="C89" s="4">
        <v>44890</v>
      </c>
      <c r="D89" t="s">
        <v>14</v>
      </c>
      <c r="E89" s="3">
        <v>2.95</v>
      </c>
      <c r="F89" s="20">
        <v>746</v>
      </c>
      <c r="G89" s="3">
        <v>0.47</v>
      </c>
      <c r="H89" t="e" vm="11">
        <v>#VALUE!</v>
      </c>
      <c r="I89" t="e" cm="1" vm="12">
        <f t="array" ref="I89">_FV(H89,"Country/region",TRUE)</f>
        <v>#VALUE!</v>
      </c>
      <c r="J89" t="s">
        <v>36</v>
      </c>
      <c r="K89" t="s">
        <v>22</v>
      </c>
      <c r="L89" t="s">
        <v>38</v>
      </c>
      <c r="M89">
        <f>Table1[[#This Row],[Price]]*Table1[[#This Row],[Quantity]]</f>
        <v>2200.7000000000003</v>
      </c>
    </row>
    <row r="90" spans="2:13" x14ac:dyDescent="0.3">
      <c r="B90" s="3">
        <v>10544</v>
      </c>
      <c r="C90" s="4">
        <v>44890</v>
      </c>
      <c r="D90" t="s">
        <v>17</v>
      </c>
      <c r="E90" s="3">
        <v>4.99</v>
      </c>
      <c r="F90" s="20">
        <v>201</v>
      </c>
      <c r="G90" s="3">
        <v>2.25</v>
      </c>
      <c r="H90" t="e" vm="11">
        <v>#VALUE!</v>
      </c>
      <c r="I90" t="e" cm="1" vm="12">
        <f t="array" ref="I90">_FV(H90,"Country/region",TRUE)</f>
        <v>#VALUE!</v>
      </c>
      <c r="J90" t="s">
        <v>36</v>
      </c>
      <c r="K90" t="s">
        <v>22</v>
      </c>
      <c r="L90" t="s">
        <v>38</v>
      </c>
      <c r="M90">
        <f>Table1[[#This Row],[Price]]*Table1[[#This Row],[Quantity]]</f>
        <v>1002.99</v>
      </c>
    </row>
    <row r="91" spans="2:13" x14ac:dyDescent="0.3">
      <c r="B91" s="3">
        <v>10545</v>
      </c>
      <c r="C91" s="4">
        <v>44891</v>
      </c>
      <c r="D91" t="s">
        <v>21</v>
      </c>
      <c r="E91" s="3">
        <v>12.99</v>
      </c>
      <c r="F91" s="20">
        <v>447</v>
      </c>
      <c r="G91" s="3">
        <v>4.32</v>
      </c>
      <c r="H91" t="e" vm="11">
        <v>#VALUE!</v>
      </c>
      <c r="I91" t="e" cm="1" vm="12">
        <f t="array" ref="I91">_FV(H91,"Country/region",TRUE)</f>
        <v>#VALUE!</v>
      </c>
      <c r="J91" t="s">
        <v>36</v>
      </c>
      <c r="K91" t="s">
        <v>22</v>
      </c>
      <c r="L91" t="s">
        <v>38</v>
      </c>
      <c r="M91">
        <f>Table1[[#This Row],[Price]]*Table1[[#This Row],[Quantity]]</f>
        <v>5806.53</v>
      </c>
    </row>
    <row r="92" spans="2:13" x14ac:dyDescent="0.3">
      <c r="B92" s="3">
        <v>10546</v>
      </c>
      <c r="C92" s="4">
        <v>44891</v>
      </c>
      <c r="D92" t="s">
        <v>25</v>
      </c>
      <c r="E92" s="3">
        <v>9.9499999999999993</v>
      </c>
      <c r="F92" s="20">
        <v>202</v>
      </c>
      <c r="G92" s="3">
        <v>2.85</v>
      </c>
      <c r="H92" t="e" vm="11">
        <v>#VALUE!</v>
      </c>
      <c r="I92" t="e" cm="1" vm="12">
        <f t="array" ref="I92">_FV(H92,"Country/region",TRUE)</f>
        <v>#VALUE!</v>
      </c>
      <c r="J92" t="s">
        <v>36</v>
      </c>
      <c r="K92" t="s">
        <v>22</v>
      </c>
      <c r="L92" t="s">
        <v>38</v>
      </c>
      <c r="M92">
        <f>Table1[[#This Row],[Price]]*Table1[[#This Row],[Quantity]]</f>
        <v>2009.8999999999999</v>
      </c>
    </row>
    <row r="93" spans="2:13" x14ac:dyDescent="0.3">
      <c r="B93" s="3">
        <v>10547</v>
      </c>
      <c r="C93" s="4">
        <v>44891</v>
      </c>
      <c r="D93" t="s">
        <v>9</v>
      </c>
      <c r="E93" s="3">
        <v>3.49</v>
      </c>
      <c r="F93" s="20">
        <v>631</v>
      </c>
      <c r="G93" s="3">
        <v>0.88</v>
      </c>
      <c r="H93" t="e" vm="11">
        <v>#VALUE!</v>
      </c>
      <c r="I93" t="e" cm="1" vm="12">
        <f t="array" ref="I93">_FV(H93,"Country/region",TRUE)</f>
        <v>#VALUE!</v>
      </c>
      <c r="J93" t="s">
        <v>36</v>
      </c>
      <c r="K93" t="s">
        <v>22</v>
      </c>
      <c r="L93" t="s">
        <v>38</v>
      </c>
      <c r="M93">
        <f>Table1[[#This Row],[Price]]*Table1[[#This Row],[Quantity]]</f>
        <v>2202.19</v>
      </c>
    </row>
    <row r="94" spans="2:13" x14ac:dyDescent="0.3">
      <c r="B94" s="3">
        <v>10548</v>
      </c>
      <c r="C94" s="4">
        <v>44891</v>
      </c>
      <c r="D94" t="s">
        <v>14</v>
      </c>
      <c r="E94" s="3">
        <v>2.95</v>
      </c>
      <c r="F94" s="20">
        <v>746</v>
      </c>
      <c r="G94" s="3">
        <v>0.47</v>
      </c>
      <c r="H94" t="e" vm="11">
        <v>#VALUE!</v>
      </c>
      <c r="I94" t="e" cm="1" vm="12">
        <f t="array" ref="I94">_FV(H94,"Country/region",TRUE)</f>
        <v>#VALUE!</v>
      </c>
      <c r="J94" t="s">
        <v>36</v>
      </c>
      <c r="K94" t="s">
        <v>22</v>
      </c>
      <c r="L94" t="s">
        <v>38</v>
      </c>
      <c r="M94">
        <f>Table1[[#This Row],[Price]]*Table1[[#This Row],[Quantity]]</f>
        <v>2200.7000000000003</v>
      </c>
    </row>
    <row r="95" spans="2:13" x14ac:dyDescent="0.3">
      <c r="B95" s="3">
        <v>10549</v>
      </c>
      <c r="C95" s="4">
        <v>44891</v>
      </c>
      <c r="D95" t="s">
        <v>17</v>
      </c>
      <c r="E95" s="3">
        <v>4.99</v>
      </c>
      <c r="F95" s="20">
        <v>201</v>
      </c>
      <c r="G95" s="3">
        <v>2.25</v>
      </c>
      <c r="H95" t="e" vm="11">
        <v>#VALUE!</v>
      </c>
      <c r="I95" t="e" cm="1" vm="12">
        <f t="array" ref="I95">_FV(H95,"Country/region",TRUE)</f>
        <v>#VALUE!</v>
      </c>
      <c r="J95" t="s">
        <v>36</v>
      </c>
      <c r="K95" t="s">
        <v>22</v>
      </c>
      <c r="L95" t="s">
        <v>38</v>
      </c>
      <c r="M95">
        <f>Table1[[#This Row],[Price]]*Table1[[#This Row],[Quantity]]</f>
        <v>1002.99</v>
      </c>
    </row>
    <row r="96" spans="2:13" x14ac:dyDescent="0.3">
      <c r="B96" s="3">
        <v>10550</v>
      </c>
      <c r="C96" s="4">
        <v>44892</v>
      </c>
      <c r="D96" t="s">
        <v>21</v>
      </c>
      <c r="E96" s="3">
        <v>12.99</v>
      </c>
      <c r="F96" s="20">
        <v>462</v>
      </c>
      <c r="G96" s="3">
        <v>4.32</v>
      </c>
      <c r="H96" t="e" vm="11">
        <v>#VALUE!</v>
      </c>
      <c r="I96" t="e" cm="1" vm="12">
        <f t="array" ref="I96">_FV(H96,"Country/region",TRUE)</f>
        <v>#VALUE!</v>
      </c>
      <c r="J96" t="s">
        <v>36</v>
      </c>
      <c r="K96" t="s">
        <v>22</v>
      </c>
      <c r="L96" t="s">
        <v>38</v>
      </c>
      <c r="M96">
        <f>Table1[[#This Row],[Price]]*Table1[[#This Row],[Quantity]]</f>
        <v>6001.38</v>
      </c>
    </row>
    <row r="97" spans="2:13" x14ac:dyDescent="0.3">
      <c r="B97" s="3">
        <v>10551</v>
      </c>
      <c r="C97" s="4">
        <v>44892</v>
      </c>
      <c r="D97" t="s">
        <v>25</v>
      </c>
      <c r="E97" s="3">
        <v>9.9499999999999993</v>
      </c>
      <c r="F97" s="20">
        <v>202</v>
      </c>
      <c r="G97" s="3">
        <v>2.85</v>
      </c>
      <c r="H97" t="e" vm="11">
        <v>#VALUE!</v>
      </c>
      <c r="I97" t="e" cm="1" vm="12">
        <f t="array" ref="I97">_FV(H97,"Country/region",TRUE)</f>
        <v>#VALUE!</v>
      </c>
      <c r="J97" t="s">
        <v>36</v>
      </c>
      <c r="K97" t="s">
        <v>22</v>
      </c>
      <c r="L97" t="s">
        <v>38</v>
      </c>
      <c r="M97">
        <f>Table1[[#This Row],[Price]]*Table1[[#This Row],[Quantity]]</f>
        <v>2009.8999999999999</v>
      </c>
    </row>
    <row r="98" spans="2:13" x14ac:dyDescent="0.3">
      <c r="B98" s="3">
        <v>10552</v>
      </c>
      <c r="C98" s="4">
        <v>44892</v>
      </c>
      <c r="D98" t="s">
        <v>9</v>
      </c>
      <c r="E98" s="3">
        <v>3.49</v>
      </c>
      <c r="F98" s="20">
        <v>631</v>
      </c>
      <c r="G98" s="3">
        <v>0.88</v>
      </c>
      <c r="H98" t="e" vm="11">
        <v>#VALUE!</v>
      </c>
      <c r="I98" t="e" cm="1" vm="12">
        <f t="array" ref="I98">_FV(H98,"Country/region",TRUE)</f>
        <v>#VALUE!</v>
      </c>
      <c r="J98" t="s">
        <v>10</v>
      </c>
      <c r="K98" t="s">
        <v>22</v>
      </c>
      <c r="L98" t="s">
        <v>38</v>
      </c>
      <c r="M98">
        <f>Table1[[#This Row],[Price]]*Table1[[#This Row],[Quantity]]</f>
        <v>2202.19</v>
      </c>
    </row>
    <row r="99" spans="2:13" x14ac:dyDescent="0.3">
      <c r="B99" s="3">
        <v>10553</v>
      </c>
      <c r="C99" s="4">
        <v>44892</v>
      </c>
      <c r="D99" t="s">
        <v>14</v>
      </c>
      <c r="E99" s="3">
        <v>2.95</v>
      </c>
      <c r="F99" s="20">
        <v>746</v>
      </c>
      <c r="G99" s="3">
        <v>0.47</v>
      </c>
      <c r="H99" t="e" vm="11">
        <v>#VALUE!</v>
      </c>
      <c r="I99" t="e" cm="1" vm="12">
        <f t="array" ref="I99">_FV(H99,"Country/region",TRUE)</f>
        <v>#VALUE!</v>
      </c>
      <c r="J99" t="s">
        <v>10</v>
      </c>
      <c r="K99" t="s">
        <v>22</v>
      </c>
      <c r="L99" t="s">
        <v>38</v>
      </c>
      <c r="M99">
        <f>Table1[[#This Row],[Price]]*Table1[[#This Row],[Quantity]]</f>
        <v>2200.7000000000003</v>
      </c>
    </row>
    <row r="100" spans="2:13" x14ac:dyDescent="0.3">
      <c r="B100" s="3">
        <v>10554</v>
      </c>
      <c r="C100" s="4">
        <v>44892</v>
      </c>
      <c r="D100" t="s">
        <v>17</v>
      </c>
      <c r="E100" s="3">
        <v>4.99</v>
      </c>
      <c r="F100" s="20">
        <v>201</v>
      </c>
      <c r="G100" s="3">
        <v>2.25</v>
      </c>
      <c r="H100" t="e" vm="11">
        <v>#VALUE!</v>
      </c>
      <c r="I100" t="e" cm="1" vm="12">
        <f t="array" ref="I100">_FV(H100,"Country/region",TRUE)</f>
        <v>#VALUE!</v>
      </c>
      <c r="J100" t="s">
        <v>10</v>
      </c>
      <c r="K100" t="s">
        <v>22</v>
      </c>
      <c r="L100" t="s">
        <v>38</v>
      </c>
      <c r="M100">
        <f>Table1[[#This Row],[Price]]*Table1[[#This Row],[Quantity]]</f>
        <v>1002.99</v>
      </c>
    </row>
    <row r="101" spans="2:13" x14ac:dyDescent="0.3">
      <c r="B101" s="3">
        <v>10555</v>
      </c>
      <c r="C101" s="4">
        <v>44893</v>
      </c>
      <c r="D101" t="s">
        <v>21</v>
      </c>
      <c r="E101" s="3">
        <v>12.99</v>
      </c>
      <c r="F101" s="20">
        <v>478</v>
      </c>
      <c r="G101" s="3">
        <v>4.32</v>
      </c>
      <c r="H101" t="e" vm="11">
        <v>#VALUE!</v>
      </c>
      <c r="I101" t="e" cm="1" vm="12">
        <f t="array" ref="I101">_FV(H101,"Country/region",TRUE)</f>
        <v>#VALUE!</v>
      </c>
      <c r="J101" t="s">
        <v>10</v>
      </c>
      <c r="K101" t="s">
        <v>22</v>
      </c>
      <c r="L101" t="s">
        <v>38</v>
      </c>
      <c r="M101">
        <f>Table1[[#This Row],[Price]]*Table1[[#This Row],[Quantity]]</f>
        <v>6209.22</v>
      </c>
    </row>
    <row r="102" spans="2:13" x14ac:dyDescent="0.3">
      <c r="B102" s="3">
        <v>10556</v>
      </c>
      <c r="C102" s="4">
        <v>44893</v>
      </c>
      <c r="D102" t="s">
        <v>25</v>
      </c>
      <c r="E102" s="3">
        <v>9.9499999999999993</v>
      </c>
      <c r="F102" s="20">
        <v>202</v>
      </c>
      <c r="G102" s="3">
        <v>2.85</v>
      </c>
      <c r="H102" t="e" vm="11">
        <v>#VALUE!</v>
      </c>
      <c r="I102" t="e" cm="1" vm="12">
        <f t="array" ref="I102">_FV(H102,"Country/region",TRUE)</f>
        <v>#VALUE!</v>
      </c>
      <c r="J102" t="s">
        <v>10</v>
      </c>
      <c r="K102" t="s">
        <v>22</v>
      </c>
      <c r="L102" t="s">
        <v>38</v>
      </c>
      <c r="M102">
        <f>Table1[[#This Row],[Price]]*Table1[[#This Row],[Quantity]]</f>
        <v>2009.8999999999999</v>
      </c>
    </row>
    <row r="103" spans="2:13" x14ac:dyDescent="0.3">
      <c r="B103" s="3">
        <v>10557</v>
      </c>
      <c r="C103" s="4">
        <v>44893</v>
      </c>
      <c r="D103" t="s">
        <v>9</v>
      </c>
      <c r="E103" s="3">
        <v>3.49</v>
      </c>
      <c r="F103" s="20">
        <v>631</v>
      </c>
      <c r="G103" s="3">
        <v>0.88</v>
      </c>
      <c r="H103" t="e" vm="11">
        <v>#VALUE!</v>
      </c>
      <c r="I103" t="e" cm="1" vm="12">
        <f t="array" ref="I103">_FV(H103,"Country/region",TRUE)</f>
        <v>#VALUE!</v>
      </c>
      <c r="J103" t="s">
        <v>10</v>
      </c>
      <c r="K103" t="s">
        <v>22</v>
      </c>
      <c r="L103" t="s">
        <v>38</v>
      </c>
      <c r="M103">
        <f>Table1[[#This Row],[Price]]*Table1[[#This Row],[Quantity]]</f>
        <v>2202.19</v>
      </c>
    </row>
    <row r="104" spans="2:13" x14ac:dyDescent="0.3">
      <c r="B104" s="3">
        <v>10558</v>
      </c>
      <c r="C104" s="4">
        <v>44893</v>
      </c>
      <c r="D104" t="s">
        <v>14</v>
      </c>
      <c r="E104" s="3">
        <v>2.95</v>
      </c>
      <c r="F104" s="20">
        <v>678</v>
      </c>
      <c r="G104" s="3">
        <v>0.47</v>
      </c>
      <c r="H104" t="e" vm="11">
        <v>#VALUE!</v>
      </c>
      <c r="I104" t="e" cm="1" vm="12">
        <f t="array" ref="I104">_FV(H104,"Country/region",TRUE)</f>
        <v>#VALUE!</v>
      </c>
      <c r="J104" t="s">
        <v>10</v>
      </c>
      <c r="K104" t="s">
        <v>22</v>
      </c>
      <c r="L104" t="s">
        <v>38</v>
      </c>
      <c r="M104">
        <f>Table1[[#This Row],[Price]]*Table1[[#This Row],[Quantity]]</f>
        <v>2000.1000000000001</v>
      </c>
    </row>
    <row r="105" spans="2:13" x14ac:dyDescent="0.3">
      <c r="B105" s="3">
        <v>10559</v>
      </c>
      <c r="C105" s="4">
        <v>44893</v>
      </c>
      <c r="D105" t="s">
        <v>17</v>
      </c>
      <c r="E105" s="3">
        <v>4.99</v>
      </c>
      <c r="F105" s="20">
        <v>201</v>
      </c>
      <c r="G105" s="3">
        <v>2.25</v>
      </c>
      <c r="H105" t="e" vm="11">
        <v>#VALUE!</v>
      </c>
      <c r="I105" t="e" cm="1" vm="12">
        <f t="array" ref="I105">_FV(H105,"Country/region",TRUE)</f>
        <v>#VALUE!</v>
      </c>
      <c r="J105" t="s">
        <v>10</v>
      </c>
      <c r="K105" t="s">
        <v>22</v>
      </c>
      <c r="L105" t="s">
        <v>38</v>
      </c>
      <c r="M105">
        <f>Table1[[#This Row],[Price]]*Table1[[#This Row],[Quantity]]</f>
        <v>1002.99</v>
      </c>
    </row>
    <row r="106" spans="2:13" x14ac:dyDescent="0.3">
      <c r="B106" s="3">
        <v>10560</v>
      </c>
      <c r="C106" s="4">
        <v>44894</v>
      </c>
      <c r="D106" t="s">
        <v>21</v>
      </c>
      <c r="E106" s="3">
        <v>12.99</v>
      </c>
      <c r="F106" s="20">
        <v>478</v>
      </c>
      <c r="G106" s="3">
        <v>4.32</v>
      </c>
      <c r="H106" t="e" vm="11">
        <v>#VALUE!</v>
      </c>
      <c r="I106" t="e" cm="1" vm="12">
        <f t="array" ref="I106">_FV(H106,"Country/region",TRUE)</f>
        <v>#VALUE!</v>
      </c>
      <c r="J106" t="s">
        <v>10</v>
      </c>
      <c r="K106" t="s">
        <v>22</v>
      </c>
      <c r="L106" t="s">
        <v>38</v>
      </c>
      <c r="M106">
        <f>Table1[[#This Row],[Price]]*Table1[[#This Row],[Quantity]]</f>
        <v>6209.22</v>
      </c>
    </row>
    <row r="107" spans="2:13" x14ac:dyDescent="0.3">
      <c r="B107" s="3">
        <v>10561</v>
      </c>
      <c r="C107" s="4">
        <v>44894</v>
      </c>
      <c r="D107" t="s">
        <v>25</v>
      </c>
      <c r="E107" s="3">
        <v>9.9499999999999993</v>
      </c>
      <c r="F107" s="20">
        <v>202</v>
      </c>
      <c r="G107" s="3">
        <v>2.85</v>
      </c>
      <c r="H107" t="e" vm="11">
        <v>#VALUE!</v>
      </c>
      <c r="I107" t="e" cm="1" vm="12">
        <f t="array" ref="I107">_FV(H107,"Country/region",TRUE)</f>
        <v>#VALUE!</v>
      </c>
      <c r="J107" t="s">
        <v>10</v>
      </c>
      <c r="K107" t="s">
        <v>22</v>
      </c>
      <c r="L107" t="s">
        <v>38</v>
      </c>
      <c r="M107">
        <f>Table1[[#This Row],[Price]]*Table1[[#This Row],[Quantity]]</f>
        <v>2009.8999999999999</v>
      </c>
    </row>
    <row r="108" spans="2:13" x14ac:dyDescent="0.3">
      <c r="B108" s="3">
        <v>10562</v>
      </c>
      <c r="C108" s="4">
        <v>44894</v>
      </c>
      <c r="D108" t="s">
        <v>9</v>
      </c>
      <c r="E108" s="3">
        <v>3.49</v>
      </c>
      <c r="F108" s="20">
        <v>631</v>
      </c>
      <c r="G108" s="3">
        <v>0.88</v>
      </c>
      <c r="H108" t="e" vm="11">
        <v>#VALUE!</v>
      </c>
      <c r="I108" t="e" cm="1" vm="12">
        <f t="array" ref="I108">_FV(H108,"Country/region",TRUE)</f>
        <v>#VALUE!</v>
      </c>
      <c r="J108" t="s">
        <v>10</v>
      </c>
      <c r="K108" t="s">
        <v>22</v>
      </c>
      <c r="L108" t="s">
        <v>38</v>
      </c>
      <c r="M108">
        <f>Table1[[#This Row],[Price]]*Table1[[#This Row],[Quantity]]</f>
        <v>2202.19</v>
      </c>
    </row>
    <row r="109" spans="2:13" x14ac:dyDescent="0.3">
      <c r="B109" s="3">
        <v>10563</v>
      </c>
      <c r="C109" s="4">
        <v>44894</v>
      </c>
      <c r="D109" t="s">
        <v>14</v>
      </c>
      <c r="E109" s="3">
        <v>2.95</v>
      </c>
      <c r="F109" s="20">
        <v>678</v>
      </c>
      <c r="G109" s="3">
        <v>0.47</v>
      </c>
      <c r="H109" t="e" vm="11">
        <v>#VALUE!</v>
      </c>
      <c r="I109" t="e" cm="1" vm="12">
        <f t="array" ref="I109">_FV(H109,"Country/region",TRUE)</f>
        <v>#VALUE!</v>
      </c>
      <c r="J109" t="s">
        <v>10</v>
      </c>
      <c r="K109" t="s">
        <v>22</v>
      </c>
      <c r="L109" t="s">
        <v>38</v>
      </c>
      <c r="M109">
        <f>Table1[[#This Row],[Price]]*Table1[[#This Row],[Quantity]]</f>
        <v>2000.1000000000001</v>
      </c>
    </row>
    <row r="110" spans="2:13" x14ac:dyDescent="0.3">
      <c r="B110" s="3">
        <v>10564</v>
      </c>
      <c r="C110" s="4">
        <v>44894</v>
      </c>
      <c r="D110" t="s">
        <v>17</v>
      </c>
      <c r="E110" s="3">
        <v>4.99</v>
      </c>
      <c r="F110" s="20">
        <v>201</v>
      </c>
      <c r="G110" s="3">
        <v>2.25</v>
      </c>
      <c r="H110" t="e" vm="11">
        <v>#VALUE!</v>
      </c>
      <c r="I110" t="e" cm="1" vm="12">
        <f t="array" ref="I110">_FV(H110,"Country/region",TRUE)</f>
        <v>#VALUE!</v>
      </c>
      <c r="J110" t="s">
        <v>10</v>
      </c>
      <c r="K110" t="s">
        <v>22</v>
      </c>
      <c r="L110" t="s">
        <v>38</v>
      </c>
      <c r="M110">
        <f>Table1[[#This Row],[Price]]*Table1[[#This Row],[Quantity]]</f>
        <v>1002.99</v>
      </c>
    </row>
    <row r="111" spans="2:13" x14ac:dyDescent="0.3">
      <c r="B111" s="3">
        <v>10565</v>
      </c>
      <c r="C111" s="4">
        <v>44895</v>
      </c>
      <c r="D111" t="s">
        <v>21</v>
      </c>
      <c r="E111" s="3">
        <v>12.99</v>
      </c>
      <c r="F111" s="20">
        <v>493</v>
      </c>
      <c r="G111" s="3">
        <v>4.32</v>
      </c>
      <c r="H111" t="e" vm="11">
        <v>#VALUE!</v>
      </c>
      <c r="I111" t="e" cm="1" vm="12">
        <f t="array" ref="I111">_FV(H111,"Country/region",TRUE)</f>
        <v>#VALUE!</v>
      </c>
      <c r="J111" t="s">
        <v>10</v>
      </c>
      <c r="K111" t="s">
        <v>22</v>
      </c>
      <c r="L111" t="s">
        <v>38</v>
      </c>
      <c r="M111">
        <f>Table1[[#This Row],[Price]]*Table1[[#This Row],[Quantity]]</f>
        <v>6404.07</v>
      </c>
    </row>
    <row r="112" spans="2:13" x14ac:dyDescent="0.3">
      <c r="B112" s="3">
        <v>10566</v>
      </c>
      <c r="C112" s="4">
        <v>44895</v>
      </c>
      <c r="D112" t="s">
        <v>25</v>
      </c>
      <c r="E112" s="3">
        <v>9.9499999999999993</v>
      </c>
      <c r="F112" s="20">
        <v>202</v>
      </c>
      <c r="G112" s="3">
        <v>2.85</v>
      </c>
      <c r="H112" t="e" vm="11">
        <v>#VALUE!</v>
      </c>
      <c r="I112" t="e" cm="1" vm="12">
        <f t="array" ref="I112">_FV(H112,"Country/region",TRUE)</f>
        <v>#VALUE!</v>
      </c>
      <c r="J112" t="s">
        <v>10</v>
      </c>
      <c r="K112" t="s">
        <v>22</v>
      </c>
      <c r="L112" t="s">
        <v>38</v>
      </c>
      <c r="M112">
        <f>Table1[[#This Row],[Price]]*Table1[[#This Row],[Quantity]]</f>
        <v>2009.8999999999999</v>
      </c>
    </row>
    <row r="113" spans="2:13" x14ac:dyDescent="0.3">
      <c r="B113" s="3">
        <v>10567</v>
      </c>
      <c r="C113" s="4">
        <v>44895</v>
      </c>
      <c r="D113" t="s">
        <v>9</v>
      </c>
      <c r="E113" s="3">
        <v>3.49</v>
      </c>
      <c r="F113" s="20">
        <v>631</v>
      </c>
      <c r="G113" s="3">
        <v>0.88</v>
      </c>
      <c r="H113" t="e" vm="11">
        <v>#VALUE!</v>
      </c>
      <c r="I113" t="e" cm="1" vm="12">
        <f t="array" ref="I113">_FV(H113,"Country/region",TRUE)</f>
        <v>#VALUE!</v>
      </c>
      <c r="J113" t="s">
        <v>10</v>
      </c>
      <c r="K113" t="s">
        <v>22</v>
      </c>
      <c r="L113" t="s">
        <v>38</v>
      </c>
      <c r="M113">
        <f>Table1[[#This Row],[Price]]*Table1[[#This Row],[Quantity]]</f>
        <v>2202.19</v>
      </c>
    </row>
    <row r="114" spans="2:13" x14ac:dyDescent="0.3">
      <c r="B114" s="3">
        <v>10568</v>
      </c>
      <c r="C114" s="4">
        <v>44895</v>
      </c>
      <c r="D114" t="s">
        <v>14</v>
      </c>
      <c r="E114" s="3">
        <v>2.95</v>
      </c>
      <c r="F114" s="20">
        <v>678</v>
      </c>
      <c r="G114" s="3">
        <v>0.47</v>
      </c>
      <c r="H114" t="e" vm="11">
        <v>#VALUE!</v>
      </c>
      <c r="I114" t="e" cm="1" vm="12">
        <f t="array" ref="I114">_FV(H114,"Country/region",TRUE)</f>
        <v>#VALUE!</v>
      </c>
      <c r="J114" t="s">
        <v>10</v>
      </c>
      <c r="K114" t="s">
        <v>22</v>
      </c>
      <c r="L114" t="s">
        <v>38</v>
      </c>
      <c r="M114">
        <f>Table1[[#This Row],[Price]]*Table1[[#This Row],[Quantity]]</f>
        <v>2000.1000000000001</v>
      </c>
    </row>
    <row r="115" spans="2:13" x14ac:dyDescent="0.3">
      <c r="B115" s="3">
        <v>10569</v>
      </c>
      <c r="C115" s="4">
        <v>44895</v>
      </c>
      <c r="D115" t="s">
        <v>17</v>
      </c>
      <c r="E115" s="3">
        <v>4.99</v>
      </c>
      <c r="F115" s="20">
        <v>201</v>
      </c>
      <c r="G115" s="3">
        <v>2.25</v>
      </c>
      <c r="H115" t="e" vm="11">
        <v>#VALUE!</v>
      </c>
      <c r="I115" t="e" cm="1" vm="12">
        <f t="array" ref="I115">_FV(H115,"Country/region",TRUE)</f>
        <v>#VALUE!</v>
      </c>
      <c r="J115" t="s">
        <v>10</v>
      </c>
      <c r="K115" t="s">
        <v>22</v>
      </c>
      <c r="L115" t="s">
        <v>38</v>
      </c>
      <c r="M115">
        <f>Table1[[#This Row],[Price]]*Table1[[#This Row],[Quantity]]</f>
        <v>1002.99</v>
      </c>
    </row>
    <row r="116" spans="2:13" x14ac:dyDescent="0.3">
      <c r="B116" s="3">
        <v>10570</v>
      </c>
      <c r="C116" s="4">
        <v>44896</v>
      </c>
      <c r="D116" t="s">
        <v>21</v>
      </c>
      <c r="E116" s="3">
        <v>12.99</v>
      </c>
      <c r="F116" s="20">
        <v>493</v>
      </c>
      <c r="G116" s="3">
        <v>4.32</v>
      </c>
      <c r="H116" t="e" vm="11">
        <v>#VALUE!</v>
      </c>
      <c r="I116" t="e" cm="1" vm="12">
        <f t="array" ref="I116">_FV(H116,"Country/region",TRUE)</f>
        <v>#VALUE!</v>
      </c>
      <c r="J116" t="s">
        <v>10</v>
      </c>
      <c r="K116" t="s">
        <v>22</v>
      </c>
      <c r="L116" t="s">
        <v>38</v>
      </c>
      <c r="M116">
        <f>Table1[[#This Row],[Price]]*Table1[[#This Row],[Quantity]]</f>
        <v>6404.07</v>
      </c>
    </row>
    <row r="117" spans="2:13" x14ac:dyDescent="0.3">
      <c r="B117" s="3">
        <v>10571</v>
      </c>
      <c r="C117" s="4">
        <v>44896</v>
      </c>
      <c r="D117" t="s">
        <v>25</v>
      </c>
      <c r="E117" s="3">
        <v>9.9499999999999993</v>
      </c>
      <c r="F117" s="20">
        <v>202</v>
      </c>
      <c r="G117" s="3">
        <v>2.85</v>
      </c>
      <c r="H117" t="e" vm="11">
        <v>#VALUE!</v>
      </c>
      <c r="I117" t="e" cm="1" vm="12">
        <f t="array" ref="I117">_FV(H117,"Country/region",TRUE)</f>
        <v>#VALUE!</v>
      </c>
      <c r="J117" t="s">
        <v>10</v>
      </c>
      <c r="K117" t="s">
        <v>22</v>
      </c>
      <c r="L117" t="s">
        <v>38</v>
      </c>
      <c r="M117">
        <f>Table1[[#This Row],[Price]]*Table1[[#This Row],[Quantity]]</f>
        <v>2009.8999999999999</v>
      </c>
    </row>
    <row r="118" spans="2:13" x14ac:dyDescent="0.3">
      <c r="B118" s="3">
        <v>10572</v>
      </c>
      <c r="C118" s="4">
        <v>44896</v>
      </c>
      <c r="D118" t="s">
        <v>9</v>
      </c>
      <c r="E118" s="3">
        <v>3.49</v>
      </c>
      <c r="F118" s="20">
        <v>574</v>
      </c>
      <c r="G118" s="3">
        <v>0.88</v>
      </c>
      <c r="H118" t="e" vm="19">
        <v>#VALUE!</v>
      </c>
      <c r="I118" t="e" cm="1" vm="20">
        <f t="array" ref="I118">_FV(H118,"Country/region",TRUE)</f>
        <v>#VALUE!</v>
      </c>
      <c r="J118" t="s">
        <v>10</v>
      </c>
      <c r="K118" t="s">
        <v>22</v>
      </c>
      <c r="L118" t="s">
        <v>28</v>
      </c>
      <c r="M118">
        <f>Table1[[#This Row],[Price]]*Table1[[#This Row],[Quantity]]</f>
        <v>2003.2600000000002</v>
      </c>
    </row>
    <row r="119" spans="2:13" x14ac:dyDescent="0.3">
      <c r="B119" s="3">
        <v>10573</v>
      </c>
      <c r="C119" s="4">
        <v>44896</v>
      </c>
      <c r="D119" t="s">
        <v>14</v>
      </c>
      <c r="E119" s="3">
        <v>2.95</v>
      </c>
      <c r="F119" s="20">
        <v>678</v>
      </c>
      <c r="G119" s="3">
        <v>0.47</v>
      </c>
      <c r="H119" t="e" vm="19">
        <v>#VALUE!</v>
      </c>
      <c r="I119" t="e" cm="1" vm="20">
        <f t="array" ref="I119">_FV(H119,"Country/region",TRUE)</f>
        <v>#VALUE!</v>
      </c>
      <c r="J119" t="s">
        <v>10</v>
      </c>
      <c r="K119" t="s">
        <v>22</v>
      </c>
      <c r="L119" t="s">
        <v>28</v>
      </c>
      <c r="M119">
        <f>Table1[[#This Row],[Price]]*Table1[[#This Row],[Quantity]]</f>
        <v>2000.1000000000001</v>
      </c>
    </row>
    <row r="120" spans="2:13" x14ac:dyDescent="0.3">
      <c r="B120" s="3">
        <v>10574</v>
      </c>
      <c r="C120" s="4">
        <v>44896</v>
      </c>
      <c r="D120" t="s">
        <v>17</v>
      </c>
      <c r="E120" s="3">
        <v>4.99</v>
      </c>
      <c r="F120" s="20">
        <v>201</v>
      </c>
      <c r="G120" s="3">
        <v>2.25</v>
      </c>
      <c r="H120" t="e" vm="19">
        <v>#VALUE!</v>
      </c>
      <c r="I120" t="e" cm="1" vm="20">
        <f t="array" ref="I120">_FV(H120,"Country/region",TRUE)</f>
        <v>#VALUE!</v>
      </c>
      <c r="J120" t="s">
        <v>10</v>
      </c>
      <c r="K120" t="s">
        <v>22</v>
      </c>
      <c r="L120" t="s">
        <v>28</v>
      </c>
      <c r="M120">
        <f>Table1[[#This Row],[Price]]*Table1[[#This Row],[Quantity]]</f>
        <v>1002.99</v>
      </c>
    </row>
    <row r="121" spans="2:13" x14ac:dyDescent="0.3">
      <c r="B121" s="3">
        <v>10575</v>
      </c>
      <c r="C121" s="4">
        <v>44897</v>
      </c>
      <c r="D121" t="s">
        <v>21</v>
      </c>
      <c r="E121" s="3">
        <v>12.99</v>
      </c>
      <c r="F121" s="20">
        <v>524</v>
      </c>
      <c r="G121" s="3">
        <v>4.32</v>
      </c>
      <c r="H121" t="e" vm="19">
        <v>#VALUE!</v>
      </c>
      <c r="I121" t="e" cm="1" vm="20">
        <f t="array" ref="I121">_FV(H121,"Country/region",TRUE)</f>
        <v>#VALUE!</v>
      </c>
      <c r="J121" t="s">
        <v>10</v>
      </c>
      <c r="K121" t="s">
        <v>22</v>
      </c>
      <c r="L121" t="s">
        <v>28</v>
      </c>
      <c r="M121">
        <f>Table1[[#This Row],[Price]]*Table1[[#This Row],[Quantity]]</f>
        <v>6806.76</v>
      </c>
    </row>
    <row r="122" spans="2:13" x14ac:dyDescent="0.3">
      <c r="B122" s="3">
        <v>10576</v>
      </c>
      <c r="C122" s="4">
        <v>44897</v>
      </c>
      <c r="D122" t="s">
        <v>25</v>
      </c>
      <c r="E122" s="3">
        <v>9.9499999999999993</v>
      </c>
      <c r="F122" s="20">
        <v>202</v>
      </c>
      <c r="G122" s="3">
        <v>2.85</v>
      </c>
      <c r="H122" t="e" vm="19">
        <v>#VALUE!</v>
      </c>
      <c r="I122" t="e" cm="1" vm="20">
        <f t="array" ref="I122">_FV(H122,"Country/region",TRUE)</f>
        <v>#VALUE!</v>
      </c>
      <c r="J122" t="s">
        <v>10</v>
      </c>
      <c r="K122" t="s">
        <v>22</v>
      </c>
      <c r="L122" t="s">
        <v>28</v>
      </c>
      <c r="M122">
        <f>Table1[[#This Row],[Price]]*Table1[[#This Row],[Quantity]]</f>
        <v>2009.8999999999999</v>
      </c>
    </row>
    <row r="123" spans="2:13" x14ac:dyDescent="0.3">
      <c r="B123" s="3">
        <v>10577</v>
      </c>
      <c r="C123" s="4">
        <v>44897</v>
      </c>
      <c r="D123" t="s">
        <v>9</v>
      </c>
      <c r="E123" s="3">
        <v>3.49</v>
      </c>
      <c r="F123" s="20">
        <v>631</v>
      </c>
      <c r="G123" s="3">
        <v>0.88</v>
      </c>
      <c r="H123" t="e" vm="19">
        <v>#VALUE!</v>
      </c>
      <c r="I123" t="e" cm="1" vm="20">
        <f t="array" ref="I123">_FV(H123,"Country/region",TRUE)</f>
        <v>#VALUE!</v>
      </c>
      <c r="J123" t="s">
        <v>10</v>
      </c>
      <c r="K123" t="s">
        <v>22</v>
      </c>
      <c r="L123" t="s">
        <v>28</v>
      </c>
      <c r="M123">
        <f>Table1[[#This Row],[Price]]*Table1[[#This Row],[Quantity]]</f>
        <v>2202.19</v>
      </c>
    </row>
    <row r="124" spans="2:13" x14ac:dyDescent="0.3">
      <c r="B124" s="3">
        <v>10578</v>
      </c>
      <c r="C124" s="4">
        <v>44897</v>
      </c>
      <c r="D124" t="s">
        <v>14</v>
      </c>
      <c r="E124" s="3">
        <v>2.95</v>
      </c>
      <c r="F124" s="20">
        <v>678</v>
      </c>
      <c r="G124" s="3">
        <v>0.47</v>
      </c>
      <c r="H124" t="e" vm="19">
        <v>#VALUE!</v>
      </c>
      <c r="I124" t="e" cm="1" vm="20">
        <f t="array" ref="I124">_FV(H124,"Country/region",TRUE)</f>
        <v>#VALUE!</v>
      </c>
      <c r="J124" t="s">
        <v>10</v>
      </c>
      <c r="K124" t="s">
        <v>22</v>
      </c>
      <c r="L124" t="s">
        <v>28</v>
      </c>
      <c r="M124">
        <f>Table1[[#This Row],[Price]]*Table1[[#This Row],[Quantity]]</f>
        <v>2000.1000000000001</v>
      </c>
    </row>
    <row r="125" spans="2:13" x14ac:dyDescent="0.3">
      <c r="B125" s="3">
        <v>10579</v>
      </c>
      <c r="C125" s="4">
        <v>44897</v>
      </c>
      <c r="D125" t="s">
        <v>17</v>
      </c>
      <c r="E125" s="3">
        <v>4.99</v>
      </c>
      <c r="F125" s="20">
        <v>201</v>
      </c>
      <c r="G125" s="3">
        <v>2.25</v>
      </c>
      <c r="H125" t="e" vm="19">
        <v>#VALUE!</v>
      </c>
      <c r="I125" t="e" cm="1" vm="20">
        <f t="array" ref="I125">_FV(H125,"Country/region",TRUE)</f>
        <v>#VALUE!</v>
      </c>
      <c r="J125" t="s">
        <v>10</v>
      </c>
      <c r="K125" t="s">
        <v>22</v>
      </c>
      <c r="L125" t="s">
        <v>28</v>
      </c>
      <c r="M125">
        <f>Table1[[#This Row],[Price]]*Table1[[#This Row],[Quantity]]</f>
        <v>1002.99</v>
      </c>
    </row>
    <row r="126" spans="2:13" x14ac:dyDescent="0.3">
      <c r="B126" s="3">
        <v>10580</v>
      </c>
      <c r="C126" s="4">
        <v>44898</v>
      </c>
      <c r="D126" t="s">
        <v>21</v>
      </c>
      <c r="E126" s="3">
        <v>12.99</v>
      </c>
      <c r="F126" s="20">
        <v>524</v>
      </c>
      <c r="G126" s="3">
        <v>4.32</v>
      </c>
      <c r="H126" t="e" vm="19">
        <v>#VALUE!</v>
      </c>
      <c r="I126" t="e" cm="1" vm="20">
        <f t="array" ref="I126">_FV(H126,"Country/region",TRUE)</f>
        <v>#VALUE!</v>
      </c>
      <c r="J126" t="s">
        <v>10</v>
      </c>
      <c r="K126" t="s">
        <v>22</v>
      </c>
      <c r="L126" t="s">
        <v>28</v>
      </c>
      <c r="M126">
        <f>Table1[[#This Row],[Price]]*Table1[[#This Row],[Quantity]]</f>
        <v>6806.76</v>
      </c>
    </row>
    <row r="127" spans="2:13" x14ac:dyDescent="0.3">
      <c r="B127" s="3">
        <v>10581</v>
      </c>
      <c r="C127" s="4">
        <v>44898</v>
      </c>
      <c r="D127" t="s">
        <v>25</v>
      </c>
      <c r="E127" s="3">
        <v>9.9499999999999993</v>
      </c>
      <c r="F127" s="20">
        <v>202</v>
      </c>
      <c r="G127" s="3">
        <v>2.85</v>
      </c>
      <c r="H127" t="e" vm="19">
        <v>#VALUE!</v>
      </c>
      <c r="I127" t="e" cm="1" vm="20">
        <f t="array" ref="I127">_FV(H127,"Country/region",TRUE)</f>
        <v>#VALUE!</v>
      </c>
      <c r="J127" t="s">
        <v>10</v>
      </c>
      <c r="K127" t="s">
        <v>22</v>
      </c>
      <c r="L127" t="s">
        <v>28</v>
      </c>
      <c r="M127">
        <f>Table1[[#This Row],[Price]]*Table1[[#This Row],[Quantity]]</f>
        <v>2009.8999999999999</v>
      </c>
    </row>
    <row r="128" spans="2:13" x14ac:dyDescent="0.3">
      <c r="B128" s="3">
        <v>10582</v>
      </c>
      <c r="C128" s="4">
        <v>44898</v>
      </c>
      <c r="D128" t="s">
        <v>9</v>
      </c>
      <c r="E128" s="3">
        <v>3.49</v>
      </c>
      <c r="F128" s="20">
        <v>631</v>
      </c>
      <c r="G128" s="3">
        <v>0.88</v>
      </c>
      <c r="H128" t="e" vm="11">
        <v>#VALUE!</v>
      </c>
      <c r="I128" t="e" cm="1" vm="12">
        <f t="array" ref="I128">_FV(H128,"Country/region",TRUE)</f>
        <v>#VALUE!</v>
      </c>
      <c r="J128" t="s">
        <v>10</v>
      </c>
      <c r="K128" t="s">
        <v>22</v>
      </c>
      <c r="L128" t="s">
        <v>38</v>
      </c>
      <c r="M128">
        <f>Table1[[#This Row],[Price]]*Table1[[#This Row],[Quantity]]</f>
        <v>2202.19</v>
      </c>
    </row>
    <row r="129" spans="2:13" x14ac:dyDescent="0.3">
      <c r="B129" s="3">
        <v>10583</v>
      </c>
      <c r="C129" s="4">
        <v>44898</v>
      </c>
      <c r="D129" t="s">
        <v>14</v>
      </c>
      <c r="E129" s="3">
        <v>2.95</v>
      </c>
      <c r="F129" s="20">
        <v>678</v>
      </c>
      <c r="G129" s="3">
        <v>0.47</v>
      </c>
      <c r="H129" t="e" vm="11">
        <v>#VALUE!</v>
      </c>
      <c r="I129" t="e" cm="1" vm="12">
        <f t="array" ref="I129">_FV(H129,"Country/region",TRUE)</f>
        <v>#VALUE!</v>
      </c>
      <c r="J129" t="s">
        <v>10</v>
      </c>
      <c r="K129" t="s">
        <v>22</v>
      </c>
      <c r="L129" t="s">
        <v>38</v>
      </c>
      <c r="M129">
        <f>Table1[[#This Row],[Price]]*Table1[[#This Row],[Quantity]]</f>
        <v>2000.1000000000001</v>
      </c>
    </row>
    <row r="130" spans="2:13" x14ac:dyDescent="0.3">
      <c r="B130" s="3">
        <v>10584</v>
      </c>
      <c r="C130" s="4">
        <v>44898</v>
      </c>
      <c r="D130" t="s">
        <v>17</v>
      </c>
      <c r="E130" s="3">
        <v>4.99</v>
      </c>
      <c r="F130" s="20">
        <v>201</v>
      </c>
      <c r="G130" s="3">
        <v>2.25</v>
      </c>
      <c r="H130" t="e" vm="11">
        <v>#VALUE!</v>
      </c>
      <c r="I130" t="e" cm="1" vm="12">
        <f t="array" ref="I130">_FV(H130,"Country/region",TRUE)</f>
        <v>#VALUE!</v>
      </c>
      <c r="J130" t="s">
        <v>10</v>
      </c>
      <c r="K130" t="s">
        <v>22</v>
      </c>
      <c r="L130" t="s">
        <v>38</v>
      </c>
      <c r="M130">
        <f>Table1[[#This Row],[Price]]*Table1[[#This Row],[Quantity]]</f>
        <v>1002.99</v>
      </c>
    </row>
    <row r="131" spans="2:13" x14ac:dyDescent="0.3">
      <c r="B131" s="3">
        <v>10585</v>
      </c>
      <c r="C131" s="4">
        <v>44899</v>
      </c>
      <c r="D131" t="s">
        <v>21</v>
      </c>
      <c r="E131" s="3">
        <v>12.99</v>
      </c>
      <c r="F131" s="20">
        <v>539</v>
      </c>
      <c r="G131" s="3">
        <v>4.32</v>
      </c>
      <c r="H131" t="e" vm="11">
        <v>#VALUE!</v>
      </c>
      <c r="I131" t="e" cm="1" vm="12">
        <f t="array" ref="I131">_FV(H131,"Country/region",TRUE)</f>
        <v>#VALUE!</v>
      </c>
      <c r="J131" t="s">
        <v>10</v>
      </c>
      <c r="K131" t="s">
        <v>22</v>
      </c>
      <c r="L131" t="s">
        <v>38</v>
      </c>
      <c r="M131">
        <f>Table1[[#This Row],[Price]]*Table1[[#This Row],[Quantity]]</f>
        <v>7001.61</v>
      </c>
    </row>
    <row r="132" spans="2:13" x14ac:dyDescent="0.3">
      <c r="B132" s="3">
        <v>10586</v>
      </c>
      <c r="C132" s="4">
        <v>44899</v>
      </c>
      <c r="D132" t="s">
        <v>25</v>
      </c>
      <c r="E132" s="3">
        <v>9.9499999999999993</v>
      </c>
      <c r="F132" s="20">
        <v>202</v>
      </c>
      <c r="G132" s="3">
        <v>2.85</v>
      </c>
      <c r="H132" t="e" vm="11">
        <v>#VALUE!</v>
      </c>
      <c r="I132" t="e" cm="1" vm="12">
        <f t="array" ref="I132">_FV(H132,"Country/region",TRUE)</f>
        <v>#VALUE!</v>
      </c>
      <c r="J132" t="s">
        <v>10</v>
      </c>
      <c r="K132" t="s">
        <v>22</v>
      </c>
      <c r="L132" t="s">
        <v>38</v>
      </c>
      <c r="M132">
        <f>Table1[[#This Row],[Price]]*Table1[[#This Row],[Quantity]]</f>
        <v>2009.8999999999999</v>
      </c>
    </row>
    <row r="133" spans="2:13" x14ac:dyDescent="0.3">
      <c r="B133" s="3">
        <v>10590</v>
      </c>
      <c r="C133" s="4">
        <v>44900</v>
      </c>
      <c r="D133" t="s">
        <v>21</v>
      </c>
      <c r="E133" s="3">
        <v>12.99</v>
      </c>
      <c r="F133" s="20">
        <v>555</v>
      </c>
      <c r="G133" s="3">
        <v>4.32</v>
      </c>
      <c r="H133" t="e" vm="11">
        <v>#VALUE!</v>
      </c>
      <c r="I133" t="e" cm="1" vm="12">
        <f t="array" ref="I133">_FV(H133,"Country/region",TRUE)</f>
        <v>#VALUE!</v>
      </c>
      <c r="J133" t="s">
        <v>10</v>
      </c>
      <c r="K133" t="s">
        <v>22</v>
      </c>
      <c r="L133" t="s">
        <v>38</v>
      </c>
      <c r="M133">
        <f>Table1[[#This Row],[Price]]*Table1[[#This Row],[Quantity]]</f>
        <v>7209.45</v>
      </c>
    </row>
    <row r="134" spans="2:13" x14ac:dyDescent="0.3">
      <c r="B134" s="3">
        <v>10591</v>
      </c>
      <c r="C134" s="4">
        <v>44900</v>
      </c>
      <c r="D134" t="s">
        <v>25</v>
      </c>
      <c r="E134" s="3">
        <v>9.9499999999999993</v>
      </c>
      <c r="F134" s="20">
        <v>202</v>
      </c>
      <c r="G134" s="3">
        <v>2.85</v>
      </c>
      <c r="H134" t="e" vm="11">
        <v>#VALUE!</v>
      </c>
      <c r="I134" t="e" cm="1" vm="12">
        <f t="array" ref="I134">_FV(H134,"Country/region",TRUE)</f>
        <v>#VALUE!</v>
      </c>
      <c r="J134" t="s">
        <v>10</v>
      </c>
      <c r="K134" t="s">
        <v>22</v>
      </c>
      <c r="L134" t="s">
        <v>38</v>
      </c>
      <c r="M134">
        <f>Table1[[#This Row],[Price]]*Table1[[#This Row],[Quantity]]</f>
        <v>2009.8999999999999</v>
      </c>
    </row>
    <row r="135" spans="2:13" x14ac:dyDescent="0.3">
      <c r="B135" s="3">
        <v>10592</v>
      </c>
      <c r="C135" s="4">
        <v>44900</v>
      </c>
      <c r="D135" t="s">
        <v>9</v>
      </c>
      <c r="E135" s="3">
        <v>3.49</v>
      </c>
      <c r="F135" s="20">
        <v>574</v>
      </c>
      <c r="G135" s="3">
        <v>0.88</v>
      </c>
      <c r="H135" t="e" vm="11">
        <v>#VALUE!</v>
      </c>
      <c r="I135" t="e" cm="1" vm="12">
        <f t="array" ref="I135">_FV(H135,"Country/region",TRUE)</f>
        <v>#VALUE!</v>
      </c>
      <c r="J135" t="s">
        <v>10</v>
      </c>
      <c r="K135" t="s">
        <v>22</v>
      </c>
      <c r="L135" t="s">
        <v>38</v>
      </c>
      <c r="M135">
        <f>Table1[[#This Row],[Price]]*Table1[[#This Row],[Quantity]]</f>
        <v>2003.2600000000002</v>
      </c>
    </row>
    <row r="136" spans="2:13" x14ac:dyDescent="0.3">
      <c r="B136" s="3">
        <v>10593</v>
      </c>
      <c r="C136" s="4">
        <v>44900</v>
      </c>
      <c r="D136" t="s">
        <v>14</v>
      </c>
      <c r="E136" s="3">
        <v>2.95</v>
      </c>
      <c r="F136" s="20">
        <v>678</v>
      </c>
      <c r="G136" s="3">
        <v>0.47</v>
      </c>
      <c r="H136" t="e" vm="11">
        <v>#VALUE!</v>
      </c>
      <c r="I136" t="e" cm="1" vm="12">
        <f t="array" ref="I136">_FV(H136,"Country/region",TRUE)</f>
        <v>#VALUE!</v>
      </c>
      <c r="J136" t="s">
        <v>10</v>
      </c>
      <c r="K136" t="s">
        <v>22</v>
      </c>
      <c r="L136" t="s">
        <v>38</v>
      </c>
      <c r="M136">
        <f>Table1[[#This Row],[Price]]*Table1[[#This Row],[Quantity]]</f>
        <v>2000.1000000000001</v>
      </c>
    </row>
    <row r="137" spans="2:13" x14ac:dyDescent="0.3">
      <c r="B137" s="3">
        <v>10594</v>
      </c>
      <c r="C137" s="4">
        <v>44900</v>
      </c>
      <c r="D137" t="s">
        <v>17</v>
      </c>
      <c r="E137" s="3">
        <v>4.99</v>
      </c>
      <c r="F137" s="20">
        <v>201</v>
      </c>
      <c r="G137" s="3">
        <v>2.25</v>
      </c>
      <c r="H137" t="e" vm="11">
        <v>#VALUE!</v>
      </c>
      <c r="I137" t="e" cm="1" vm="12">
        <f t="array" ref="I137">_FV(H137,"Country/region",TRUE)</f>
        <v>#VALUE!</v>
      </c>
      <c r="J137" t="s">
        <v>10</v>
      </c>
      <c r="K137" t="s">
        <v>22</v>
      </c>
      <c r="L137" t="s">
        <v>38</v>
      </c>
      <c r="M137">
        <f>Table1[[#This Row],[Price]]*Table1[[#This Row],[Quantity]]</f>
        <v>1002.99</v>
      </c>
    </row>
    <row r="138" spans="2:13" x14ac:dyDescent="0.3">
      <c r="B138" s="3">
        <v>10595</v>
      </c>
      <c r="C138" s="4">
        <v>44901</v>
      </c>
      <c r="D138" t="s">
        <v>21</v>
      </c>
      <c r="E138" s="3">
        <v>12.99</v>
      </c>
      <c r="F138" s="20">
        <v>539</v>
      </c>
      <c r="G138" s="3">
        <v>4.32</v>
      </c>
      <c r="H138" t="e" vm="11">
        <v>#VALUE!</v>
      </c>
      <c r="I138" t="e" cm="1" vm="12">
        <f t="array" ref="I138">_FV(H138,"Country/region",TRUE)</f>
        <v>#VALUE!</v>
      </c>
      <c r="J138" t="s">
        <v>10</v>
      </c>
      <c r="K138" t="s">
        <v>22</v>
      </c>
      <c r="L138" t="s">
        <v>38</v>
      </c>
      <c r="M138">
        <f>Table1[[#This Row],[Price]]*Table1[[#This Row],[Quantity]]</f>
        <v>7001.61</v>
      </c>
    </row>
    <row r="139" spans="2:13" x14ac:dyDescent="0.3">
      <c r="B139" s="3">
        <v>10596</v>
      </c>
      <c r="C139" s="4">
        <v>44901</v>
      </c>
      <c r="D139" t="s">
        <v>25</v>
      </c>
      <c r="E139" s="3">
        <v>9.9499999999999993</v>
      </c>
      <c r="F139" s="20">
        <v>202</v>
      </c>
      <c r="G139" s="3">
        <v>2.85</v>
      </c>
      <c r="H139" t="e" vm="11">
        <v>#VALUE!</v>
      </c>
      <c r="I139" t="e" cm="1" vm="12">
        <f t="array" ref="I139">_FV(H139,"Country/region",TRUE)</f>
        <v>#VALUE!</v>
      </c>
      <c r="J139" t="s">
        <v>10</v>
      </c>
      <c r="K139" t="s">
        <v>22</v>
      </c>
      <c r="L139" t="s">
        <v>38</v>
      </c>
      <c r="M139">
        <f>Table1[[#This Row],[Price]]*Table1[[#This Row],[Quantity]]</f>
        <v>2009.8999999999999</v>
      </c>
    </row>
    <row r="140" spans="2:13" x14ac:dyDescent="0.3">
      <c r="B140" s="3">
        <v>10597</v>
      </c>
      <c r="C140" s="4">
        <v>44901</v>
      </c>
      <c r="D140" t="s">
        <v>9</v>
      </c>
      <c r="E140" s="3">
        <v>3.49</v>
      </c>
      <c r="F140" s="20">
        <v>574</v>
      </c>
      <c r="G140" s="3">
        <v>0.88</v>
      </c>
      <c r="H140" t="e" vm="11">
        <v>#VALUE!</v>
      </c>
      <c r="I140" t="e" cm="1" vm="12">
        <f t="array" ref="I140">_FV(H140,"Country/region",TRUE)</f>
        <v>#VALUE!</v>
      </c>
      <c r="J140" t="s">
        <v>10</v>
      </c>
      <c r="K140" t="s">
        <v>22</v>
      </c>
      <c r="L140" t="s">
        <v>38</v>
      </c>
      <c r="M140">
        <f>Table1[[#This Row],[Price]]*Table1[[#This Row],[Quantity]]</f>
        <v>2003.2600000000002</v>
      </c>
    </row>
    <row r="141" spans="2:13" x14ac:dyDescent="0.3">
      <c r="B141" s="3">
        <v>10598</v>
      </c>
      <c r="C141" s="4">
        <v>44901</v>
      </c>
      <c r="D141" t="s">
        <v>14</v>
      </c>
      <c r="E141" s="3">
        <v>2.95</v>
      </c>
      <c r="F141" s="20">
        <v>678</v>
      </c>
      <c r="G141" s="3">
        <v>0.47</v>
      </c>
      <c r="H141" t="e" vm="11">
        <v>#VALUE!</v>
      </c>
      <c r="I141" t="e" cm="1" vm="12">
        <f t="array" ref="I141">_FV(H141,"Country/region",TRUE)</f>
        <v>#VALUE!</v>
      </c>
      <c r="J141" t="s">
        <v>10</v>
      </c>
      <c r="K141" t="s">
        <v>22</v>
      </c>
      <c r="L141" t="s">
        <v>38</v>
      </c>
      <c r="M141">
        <f>Table1[[#This Row],[Price]]*Table1[[#This Row],[Quantity]]</f>
        <v>2000.1000000000001</v>
      </c>
    </row>
    <row r="142" spans="2:13" x14ac:dyDescent="0.3">
      <c r="B142" s="3">
        <v>10599</v>
      </c>
      <c r="C142" s="4">
        <v>44901</v>
      </c>
      <c r="D142" t="s">
        <v>17</v>
      </c>
      <c r="E142" s="3">
        <v>4.99</v>
      </c>
      <c r="F142" s="20">
        <v>201</v>
      </c>
      <c r="G142" s="3">
        <v>2.25</v>
      </c>
      <c r="H142" t="e" vm="11">
        <v>#VALUE!</v>
      </c>
      <c r="I142" t="e" cm="1" vm="12">
        <f t="array" ref="I142">_FV(H142,"Country/region",TRUE)</f>
        <v>#VALUE!</v>
      </c>
      <c r="J142" t="s">
        <v>10</v>
      </c>
      <c r="K142" t="s">
        <v>22</v>
      </c>
      <c r="L142" t="s">
        <v>38</v>
      </c>
      <c r="M142">
        <f>Table1[[#This Row],[Price]]*Table1[[#This Row],[Quantity]]</f>
        <v>1002.99</v>
      </c>
    </row>
    <row r="143" spans="2:13" x14ac:dyDescent="0.3">
      <c r="B143" s="3">
        <v>10600</v>
      </c>
      <c r="C143" s="4">
        <v>44902</v>
      </c>
      <c r="D143" t="s">
        <v>21</v>
      </c>
      <c r="E143" s="3">
        <v>12.99</v>
      </c>
      <c r="F143" s="20">
        <v>524</v>
      </c>
      <c r="G143" s="3">
        <v>4.32</v>
      </c>
      <c r="H143" t="e" vm="11">
        <v>#VALUE!</v>
      </c>
      <c r="I143" t="e" cm="1" vm="12">
        <f t="array" ref="I143">_FV(H143,"Country/region",TRUE)</f>
        <v>#VALUE!</v>
      </c>
      <c r="J143" t="s">
        <v>10</v>
      </c>
      <c r="K143" t="s">
        <v>22</v>
      </c>
      <c r="L143" t="s">
        <v>38</v>
      </c>
      <c r="M143">
        <f>Table1[[#This Row],[Price]]*Table1[[#This Row],[Quantity]]</f>
        <v>6806.76</v>
      </c>
    </row>
    <row r="144" spans="2:13" x14ac:dyDescent="0.3">
      <c r="B144" s="3">
        <v>10601</v>
      </c>
      <c r="C144" s="4">
        <v>44902</v>
      </c>
      <c r="D144" t="s">
        <v>25</v>
      </c>
      <c r="E144" s="3">
        <v>9.9499999999999993</v>
      </c>
      <c r="F144" s="20">
        <v>202</v>
      </c>
      <c r="G144" s="3">
        <v>2.85</v>
      </c>
      <c r="H144" t="e" vm="11">
        <v>#VALUE!</v>
      </c>
      <c r="I144" t="e" cm="1" vm="12">
        <f t="array" ref="I144">_FV(H144,"Country/region",TRUE)</f>
        <v>#VALUE!</v>
      </c>
      <c r="J144" t="s">
        <v>10</v>
      </c>
      <c r="K144" t="s">
        <v>22</v>
      </c>
      <c r="L144" t="s">
        <v>38</v>
      </c>
      <c r="M144">
        <f>Table1[[#This Row],[Price]]*Table1[[#This Row],[Quantity]]</f>
        <v>2009.8999999999999</v>
      </c>
    </row>
    <row r="145" spans="2:13" x14ac:dyDescent="0.3">
      <c r="B145" s="3">
        <v>10602</v>
      </c>
      <c r="C145" s="4">
        <v>44902</v>
      </c>
      <c r="D145" t="s">
        <v>9</v>
      </c>
      <c r="E145" s="3">
        <v>3.49</v>
      </c>
      <c r="F145" s="20">
        <v>631</v>
      </c>
      <c r="G145" s="3">
        <v>0.88</v>
      </c>
      <c r="H145" t="e" vm="11">
        <v>#VALUE!</v>
      </c>
      <c r="I145" t="e" cm="1" vm="12">
        <f t="array" ref="I145">_FV(H145,"Country/region",TRUE)</f>
        <v>#VALUE!</v>
      </c>
      <c r="J145" t="s">
        <v>10</v>
      </c>
      <c r="K145" t="s">
        <v>37</v>
      </c>
      <c r="L145" t="s">
        <v>38</v>
      </c>
      <c r="M145">
        <f>Table1[[#This Row],[Price]]*Table1[[#This Row],[Quantity]]</f>
        <v>2202.19</v>
      </c>
    </row>
    <row r="146" spans="2:13" x14ac:dyDescent="0.3">
      <c r="B146" s="3">
        <v>10603</v>
      </c>
      <c r="C146" s="4">
        <v>44902</v>
      </c>
      <c r="D146" t="s">
        <v>14</v>
      </c>
      <c r="E146" s="3">
        <v>2.95</v>
      </c>
      <c r="F146" s="20">
        <v>678</v>
      </c>
      <c r="G146" s="3">
        <v>0.47</v>
      </c>
      <c r="H146" t="e" vm="11">
        <v>#VALUE!</v>
      </c>
      <c r="I146" t="e" cm="1" vm="12">
        <f t="array" ref="I146">_FV(H146,"Country/region",TRUE)</f>
        <v>#VALUE!</v>
      </c>
      <c r="J146" t="s">
        <v>10</v>
      </c>
      <c r="K146" t="s">
        <v>37</v>
      </c>
      <c r="L146" t="s">
        <v>38</v>
      </c>
      <c r="M146">
        <f>Table1[[#This Row],[Price]]*Table1[[#This Row],[Quantity]]</f>
        <v>2000.1000000000001</v>
      </c>
    </row>
    <row r="147" spans="2:13" x14ac:dyDescent="0.3">
      <c r="B147" s="3">
        <v>10604</v>
      </c>
      <c r="C147" s="4">
        <v>44902</v>
      </c>
      <c r="D147" t="s">
        <v>17</v>
      </c>
      <c r="E147" s="3">
        <v>4.99</v>
      </c>
      <c r="F147" s="20">
        <v>201</v>
      </c>
      <c r="G147" s="3">
        <v>2.25</v>
      </c>
      <c r="H147" t="e" vm="11">
        <v>#VALUE!</v>
      </c>
      <c r="I147" t="e" cm="1" vm="12">
        <f t="array" ref="I147">_FV(H147,"Country/region",TRUE)</f>
        <v>#VALUE!</v>
      </c>
      <c r="J147" t="s">
        <v>10</v>
      </c>
      <c r="K147" t="s">
        <v>37</v>
      </c>
      <c r="L147" t="s">
        <v>38</v>
      </c>
      <c r="M147">
        <f>Table1[[#This Row],[Price]]*Table1[[#This Row],[Quantity]]</f>
        <v>1002.99</v>
      </c>
    </row>
    <row r="148" spans="2:13" x14ac:dyDescent="0.3">
      <c r="B148" s="3">
        <v>10605</v>
      </c>
      <c r="C148" s="4">
        <v>44903</v>
      </c>
      <c r="D148" t="s">
        <v>21</v>
      </c>
      <c r="E148" s="3">
        <v>12.99</v>
      </c>
      <c r="F148" s="20">
        <v>539</v>
      </c>
      <c r="G148" s="3">
        <v>4.32</v>
      </c>
      <c r="H148" t="e" vm="11">
        <v>#VALUE!</v>
      </c>
      <c r="I148" t="e" cm="1" vm="12">
        <f t="array" ref="I148">_FV(H148,"Country/region",TRUE)</f>
        <v>#VALUE!</v>
      </c>
      <c r="J148" t="s">
        <v>10</v>
      </c>
      <c r="K148" t="s">
        <v>37</v>
      </c>
      <c r="L148" t="s">
        <v>38</v>
      </c>
      <c r="M148">
        <f>Table1[[#This Row],[Price]]*Table1[[#This Row],[Quantity]]</f>
        <v>7001.61</v>
      </c>
    </row>
    <row r="149" spans="2:13" x14ac:dyDescent="0.3">
      <c r="B149" s="3">
        <v>10606</v>
      </c>
      <c r="C149" s="4">
        <v>44903</v>
      </c>
      <c r="D149" t="s">
        <v>25</v>
      </c>
      <c r="E149" s="3">
        <v>9.9499999999999993</v>
      </c>
      <c r="F149" s="20">
        <v>202</v>
      </c>
      <c r="G149" s="3">
        <v>2.85</v>
      </c>
      <c r="H149" t="e" vm="11">
        <v>#VALUE!</v>
      </c>
      <c r="I149" t="e" cm="1" vm="12">
        <f t="array" ref="I149">_FV(H149,"Country/region",TRUE)</f>
        <v>#VALUE!</v>
      </c>
      <c r="J149" t="s">
        <v>10</v>
      </c>
      <c r="K149" t="s">
        <v>37</v>
      </c>
      <c r="L149" t="s">
        <v>38</v>
      </c>
      <c r="M149">
        <f>Table1[[#This Row],[Price]]*Table1[[#This Row],[Quantity]]</f>
        <v>2009.8999999999999</v>
      </c>
    </row>
    <row r="150" spans="2:13" x14ac:dyDescent="0.3">
      <c r="B150" s="3">
        <v>10607</v>
      </c>
      <c r="C150" s="4">
        <v>44903</v>
      </c>
      <c r="D150" t="s">
        <v>9</v>
      </c>
      <c r="E150" s="3">
        <v>3.49</v>
      </c>
      <c r="F150" s="20">
        <v>631</v>
      </c>
      <c r="G150" s="3">
        <v>0.88</v>
      </c>
      <c r="H150" t="e" vm="11">
        <v>#VALUE!</v>
      </c>
      <c r="I150" t="e" cm="1" vm="12">
        <f t="array" ref="I150">_FV(H150,"Country/region",TRUE)</f>
        <v>#VALUE!</v>
      </c>
      <c r="J150" t="s">
        <v>10</v>
      </c>
      <c r="K150" t="s">
        <v>37</v>
      </c>
      <c r="L150" t="s">
        <v>38</v>
      </c>
      <c r="M150">
        <f>Table1[[#This Row],[Price]]*Table1[[#This Row],[Quantity]]</f>
        <v>2202.19</v>
      </c>
    </row>
    <row r="151" spans="2:13" x14ac:dyDescent="0.3">
      <c r="B151" s="3">
        <v>10608</v>
      </c>
      <c r="C151" s="4">
        <v>44903</v>
      </c>
      <c r="D151" t="s">
        <v>14</v>
      </c>
      <c r="E151" s="3">
        <v>2.95</v>
      </c>
      <c r="F151" s="20">
        <v>678</v>
      </c>
      <c r="G151" s="3">
        <v>0.47</v>
      </c>
      <c r="H151" t="e" vm="11">
        <v>#VALUE!</v>
      </c>
      <c r="I151" t="e" cm="1" vm="12">
        <f t="array" ref="I151">_FV(H151,"Country/region",TRUE)</f>
        <v>#VALUE!</v>
      </c>
      <c r="J151" t="s">
        <v>10</v>
      </c>
      <c r="K151" t="s">
        <v>11</v>
      </c>
      <c r="L151" t="s">
        <v>38</v>
      </c>
      <c r="M151">
        <f>Table1[[#This Row],[Price]]*Table1[[#This Row],[Quantity]]</f>
        <v>2000.1000000000001</v>
      </c>
    </row>
    <row r="152" spans="2:13" x14ac:dyDescent="0.3">
      <c r="B152" s="3">
        <v>10609</v>
      </c>
      <c r="C152" s="4">
        <v>44903</v>
      </c>
      <c r="D152" t="s">
        <v>17</v>
      </c>
      <c r="E152" s="3">
        <v>4.99</v>
      </c>
      <c r="F152" s="20">
        <v>201</v>
      </c>
      <c r="G152" s="3">
        <v>2.25</v>
      </c>
      <c r="H152" t="e" vm="11">
        <v>#VALUE!</v>
      </c>
      <c r="I152" t="e" cm="1" vm="12">
        <f t="array" ref="I152">_FV(H152,"Country/region",TRUE)</f>
        <v>#VALUE!</v>
      </c>
      <c r="J152" t="s">
        <v>10</v>
      </c>
      <c r="K152" t="s">
        <v>11</v>
      </c>
      <c r="L152" t="s">
        <v>38</v>
      </c>
      <c r="M152">
        <f>Table1[[#This Row],[Price]]*Table1[[#This Row],[Quantity]]</f>
        <v>1002.99</v>
      </c>
    </row>
    <row r="153" spans="2:13" x14ac:dyDescent="0.3">
      <c r="B153" s="3">
        <v>10610</v>
      </c>
      <c r="C153" s="4">
        <v>44904</v>
      </c>
      <c r="D153" t="s">
        <v>21</v>
      </c>
      <c r="E153" s="3">
        <v>12.99</v>
      </c>
      <c r="F153" s="20">
        <v>570</v>
      </c>
      <c r="G153" s="3">
        <v>4.32</v>
      </c>
      <c r="H153" t="e" vm="11">
        <v>#VALUE!</v>
      </c>
      <c r="I153" t="e" cm="1" vm="12">
        <f t="array" ref="I153">_FV(H153,"Country/region",TRUE)</f>
        <v>#VALUE!</v>
      </c>
      <c r="J153" t="s">
        <v>10</v>
      </c>
      <c r="K153" t="s">
        <v>11</v>
      </c>
      <c r="L153" t="s">
        <v>38</v>
      </c>
      <c r="M153">
        <f>Table1[[#This Row],[Price]]*Table1[[#This Row],[Quantity]]</f>
        <v>7404.3</v>
      </c>
    </row>
    <row r="154" spans="2:13" x14ac:dyDescent="0.3">
      <c r="B154" s="3">
        <v>10611</v>
      </c>
      <c r="C154" s="4">
        <v>44904</v>
      </c>
      <c r="D154" t="s">
        <v>25</v>
      </c>
      <c r="E154" s="3">
        <v>9.9499999999999993</v>
      </c>
      <c r="F154" s="20">
        <v>202</v>
      </c>
      <c r="G154" s="3">
        <v>2.85</v>
      </c>
      <c r="H154" t="e" vm="11">
        <v>#VALUE!</v>
      </c>
      <c r="I154" t="e" cm="1" vm="12">
        <f t="array" ref="I154">_FV(H154,"Country/region",TRUE)</f>
        <v>#VALUE!</v>
      </c>
      <c r="J154" t="s">
        <v>10</v>
      </c>
      <c r="K154" t="s">
        <v>11</v>
      </c>
      <c r="L154" t="s">
        <v>38</v>
      </c>
      <c r="M154">
        <f>Table1[[#This Row],[Price]]*Table1[[#This Row],[Quantity]]</f>
        <v>2009.8999999999999</v>
      </c>
    </row>
    <row r="155" spans="2:13" x14ac:dyDescent="0.3">
      <c r="B155" s="3">
        <v>10612</v>
      </c>
      <c r="C155" s="4">
        <v>44904</v>
      </c>
      <c r="D155" t="s">
        <v>9</v>
      </c>
      <c r="E155" s="3">
        <v>3.49</v>
      </c>
      <c r="F155" s="20">
        <v>631</v>
      </c>
      <c r="G155" s="3">
        <v>0.88</v>
      </c>
      <c r="H155" t="e" vm="11">
        <v>#VALUE!</v>
      </c>
      <c r="I155" t="e" cm="1" vm="12">
        <f t="array" ref="I155">_FV(H155,"Country/region",TRUE)</f>
        <v>#VALUE!</v>
      </c>
      <c r="J155" t="s">
        <v>10</v>
      </c>
      <c r="K155" t="s">
        <v>11</v>
      </c>
      <c r="L155" t="s">
        <v>38</v>
      </c>
      <c r="M155">
        <f>Table1[[#This Row],[Price]]*Table1[[#This Row],[Quantity]]</f>
        <v>2202.19</v>
      </c>
    </row>
    <row r="156" spans="2:13" x14ac:dyDescent="0.3">
      <c r="B156" s="3">
        <v>10613</v>
      </c>
      <c r="C156" s="4">
        <v>44904</v>
      </c>
      <c r="D156" t="s">
        <v>14</v>
      </c>
      <c r="E156" s="3">
        <v>2.95</v>
      </c>
      <c r="F156" s="20">
        <v>678</v>
      </c>
      <c r="G156" s="3">
        <v>0.47</v>
      </c>
      <c r="H156" t="e" vm="11">
        <v>#VALUE!</v>
      </c>
      <c r="I156" t="e" cm="1" vm="12">
        <f t="array" ref="I156">_FV(H156,"Country/region",TRUE)</f>
        <v>#VALUE!</v>
      </c>
      <c r="J156" t="s">
        <v>10</v>
      </c>
      <c r="K156" t="s">
        <v>11</v>
      </c>
      <c r="L156" t="s">
        <v>38</v>
      </c>
      <c r="M156">
        <f>Table1[[#This Row],[Price]]*Table1[[#This Row],[Quantity]]</f>
        <v>2000.1000000000001</v>
      </c>
    </row>
    <row r="157" spans="2:13" x14ac:dyDescent="0.3">
      <c r="B157" s="3">
        <v>10614</v>
      </c>
      <c r="C157" s="4">
        <v>44904</v>
      </c>
      <c r="D157" t="s">
        <v>17</v>
      </c>
      <c r="E157" s="3">
        <v>4.99</v>
      </c>
      <c r="F157" s="20">
        <v>201</v>
      </c>
      <c r="G157" s="3">
        <v>2.25</v>
      </c>
      <c r="H157" t="e" vm="11">
        <v>#VALUE!</v>
      </c>
      <c r="I157" t="e" cm="1" vm="12">
        <f t="array" ref="I157">_FV(H157,"Country/region",TRUE)</f>
        <v>#VALUE!</v>
      </c>
      <c r="J157" t="s">
        <v>10</v>
      </c>
      <c r="K157" t="s">
        <v>11</v>
      </c>
      <c r="L157" t="s">
        <v>38</v>
      </c>
      <c r="M157">
        <f>Table1[[#This Row],[Price]]*Table1[[#This Row],[Quantity]]</f>
        <v>1002.99</v>
      </c>
    </row>
    <row r="158" spans="2:13" x14ac:dyDescent="0.3">
      <c r="B158" s="3">
        <v>10615</v>
      </c>
      <c r="C158" s="4">
        <v>44905</v>
      </c>
      <c r="D158" t="s">
        <v>21</v>
      </c>
      <c r="E158" s="3">
        <v>12.99</v>
      </c>
      <c r="F158" s="20">
        <v>570</v>
      </c>
      <c r="G158" s="3">
        <v>4.32</v>
      </c>
      <c r="H158" t="e" vm="11">
        <v>#VALUE!</v>
      </c>
      <c r="I158" t="e" cm="1" vm="12">
        <f t="array" ref="I158">_FV(H158,"Country/region",TRUE)</f>
        <v>#VALUE!</v>
      </c>
      <c r="J158" t="s">
        <v>10</v>
      </c>
      <c r="K158" t="s">
        <v>11</v>
      </c>
      <c r="L158" t="s">
        <v>38</v>
      </c>
      <c r="M158">
        <f>Table1[[#This Row],[Price]]*Table1[[#This Row],[Quantity]]</f>
        <v>7404.3</v>
      </c>
    </row>
    <row r="159" spans="2:13" x14ac:dyDescent="0.3">
      <c r="B159" s="3">
        <v>10616</v>
      </c>
      <c r="C159" s="4">
        <v>44905</v>
      </c>
      <c r="D159" t="s">
        <v>25</v>
      </c>
      <c r="E159" s="3">
        <v>9.9499999999999993</v>
      </c>
      <c r="F159" s="20">
        <v>202</v>
      </c>
      <c r="G159" s="3">
        <v>2.85</v>
      </c>
      <c r="H159" t="e" vm="11">
        <v>#VALUE!</v>
      </c>
      <c r="I159" t="e" cm="1" vm="12">
        <f t="array" ref="I159">_FV(H159,"Country/region",TRUE)</f>
        <v>#VALUE!</v>
      </c>
      <c r="J159" t="s">
        <v>10</v>
      </c>
      <c r="K159" t="s">
        <v>11</v>
      </c>
      <c r="L159" t="s">
        <v>38</v>
      </c>
      <c r="M159">
        <f>Table1[[#This Row],[Price]]*Table1[[#This Row],[Quantity]]</f>
        <v>2009.8999999999999</v>
      </c>
    </row>
    <row r="160" spans="2:13" x14ac:dyDescent="0.3">
      <c r="B160" s="3">
        <v>10617</v>
      </c>
      <c r="C160" s="4">
        <v>44905</v>
      </c>
      <c r="D160" t="s">
        <v>9</v>
      </c>
      <c r="E160" s="3">
        <v>3.49</v>
      </c>
      <c r="F160" s="20">
        <v>631</v>
      </c>
      <c r="G160" s="3">
        <v>0.88</v>
      </c>
      <c r="H160" t="e" vm="11">
        <v>#VALUE!</v>
      </c>
      <c r="I160" t="e" cm="1" vm="12">
        <f t="array" ref="I160">_FV(H160,"Country/region",TRUE)</f>
        <v>#VALUE!</v>
      </c>
      <c r="J160" t="s">
        <v>10</v>
      </c>
      <c r="K160" t="s">
        <v>11</v>
      </c>
      <c r="L160" t="s">
        <v>38</v>
      </c>
      <c r="M160">
        <f>Table1[[#This Row],[Price]]*Table1[[#This Row],[Quantity]]</f>
        <v>2202.19</v>
      </c>
    </row>
    <row r="161" spans="2:13" x14ac:dyDescent="0.3">
      <c r="B161" s="3">
        <v>10618</v>
      </c>
      <c r="C161" s="4">
        <v>44905</v>
      </c>
      <c r="D161" t="s">
        <v>14</v>
      </c>
      <c r="E161" s="3">
        <v>2.95</v>
      </c>
      <c r="F161" s="20">
        <v>678</v>
      </c>
      <c r="G161" s="3">
        <v>0.47</v>
      </c>
      <c r="H161" t="e" vm="11">
        <v>#VALUE!</v>
      </c>
      <c r="I161" t="e" cm="1" vm="12">
        <f t="array" ref="I161">_FV(H161,"Country/region",TRUE)</f>
        <v>#VALUE!</v>
      </c>
      <c r="J161" t="s">
        <v>10</v>
      </c>
      <c r="K161" t="s">
        <v>11</v>
      </c>
      <c r="L161" t="s">
        <v>38</v>
      </c>
      <c r="M161">
        <f>Table1[[#This Row],[Price]]*Table1[[#This Row],[Quantity]]</f>
        <v>2000.1000000000001</v>
      </c>
    </row>
    <row r="162" spans="2:13" x14ac:dyDescent="0.3">
      <c r="B162" s="3">
        <v>10619</v>
      </c>
      <c r="C162" s="4">
        <v>44905</v>
      </c>
      <c r="D162" t="s">
        <v>17</v>
      </c>
      <c r="E162" s="3">
        <v>4.99</v>
      </c>
      <c r="F162" s="20">
        <v>201</v>
      </c>
      <c r="G162" s="3">
        <v>2.25</v>
      </c>
      <c r="H162" t="e" vm="11">
        <v>#VALUE!</v>
      </c>
      <c r="I162" t="e" cm="1" vm="12">
        <f t="array" ref="I162">_FV(H162,"Country/region",TRUE)</f>
        <v>#VALUE!</v>
      </c>
      <c r="J162" t="s">
        <v>10</v>
      </c>
      <c r="K162" t="s">
        <v>11</v>
      </c>
      <c r="L162" t="s">
        <v>38</v>
      </c>
      <c r="M162">
        <f>Table1[[#This Row],[Price]]*Table1[[#This Row],[Quantity]]</f>
        <v>1002.99</v>
      </c>
    </row>
    <row r="163" spans="2:13" x14ac:dyDescent="0.3">
      <c r="B163" s="3">
        <v>10620</v>
      </c>
      <c r="C163" s="4">
        <v>44906</v>
      </c>
      <c r="D163" t="s">
        <v>21</v>
      </c>
      <c r="E163" s="3">
        <v>12.99</v>
      </c>
      <c r="F163" s="20">
        <v>586</v>
      </c>
      <c r="G163" s="3">
        <v>4.32</v>
      </c>
      <c r="H163" t="e" vm="11">
        <v>#VALUE!</v>
      </c>
      <c r="I163" t="e" cm="1" vm="12">
        <f t="array" ref="I163">_FV(H163,"Country/region",TRUE)</f>
        <v>#VALUE!</v>
      </c>
      <c r="J163" t="s">
        <v>10</v>
      </c>
      <c r="K163" t="s">
        <v>11</v>
      </c>
      <c r="L163" t="s">
        <v>38</v>
      </c>
      <c r="M163">
        <f>Table1[[#This Row],[Price]]*Table1[[#This Row],[Quantity]]</f>
        <v>7612.14</v>
      </c>
    </row>
    <row r="164" spans="2:13" x14ac:dyDescent="0.3">
      <c r="B164" s="3">
        <v>10621</v>
      </c>
      <c r="C164" s="4">
        <v>44906</v>
      </c>
      <c r="D164" t="s">
        <v>25</v>
      </c>
      <c r="E164" s="3">
        <v>9.9499999999999993</v>
      </c>
      <c r="F164" s="20">
        <v>202</v>
      </c>
      <c r="G164" s="3">
        <v>2.85</v>
      </c>
      <c r="H164" t="e" vm="11">
        <v>#VALUE!</v>
      </c>
      <c r="I164" t="e" cm="1" vm="12">
        <f t="array" ref="I164">_FV(H164,"Country/region",TRUE)</f>
        <v>#VALUE!</v>
      </c>
      <c r="J164" t="s">
        <v>10</v>
      </c>
      <c r="K164" t="s">
        <v>11</v>
      </c>
      <c r="L164" t="s">
        <v>38</v>
      </c>
      <c r="M164">
        <f>Table1[[#This Row],[Price]]*Table1[[#This Row],[Quantity]]</f>
        <v>2009.8999999999999</v>
      </c>
    </row>
    <row r="165" spans="2:13" x14ac:dyDescent="0.3">
      <c r="B165" s="3">
        <v>10622</v>
      </c>
      <c r="C165" s="4">
        <v>44906</v>
      </c>
      <c r="D165" t="s">
        <v>9</v>
      </c>
      <c r="E165" s="3">
        <v>3.49</v>
      </c>
      <c r="F165" s="20">
        <v>631</v>
      </c>
      <c r="G165" s="3">
        <v>0.88</v>
      </c>
      <c r="H165" t="e" vm="11">
        <v>#VALUE!</v>
      </c>
      <c r="I165" t="e" cm="1" vm="12">
        <f t="array" ref="I165">_FV(H165,"Country/region",TRUE)</f>
        <v>#VALUE!</v>
      </c>
      <c r="J165" t="s">
        <v>10</v>
      </c>
      <c r="K165" t="s">
        <v>11</v>
      </c>
      <c r="L165" t="s">
        <v>38</v>
      </c>
      <c r="M165">
        <f>Table1[[#This Row],[Price]]*Table1[[#This Row],[Quantity]]</f>
        <v>2202.19</v>
      </c>
    </row>
    <row r="166" spans="2:13" x14ac:dyDescent="0.3">
      <c r="B166" s="3">
        <v>10623</v>
      </c>
      <c r="C166" s="4">
        <v>44906</v>
      </c>
      <c r="D166" t="s">
        <v>14</v>
      </c>
      <c r="E166" s="3">
        <v>2.95</v>
      </c>
      <c r="F166" s="20">
        <v>746</v>
      </c>
      <c r="G166" s="3">
        <v>0.47</v>
      </c>
      <c r="H166" t="e" vm="11">
        <v>#VALUE!</v>
      </c>
      <c r="I166" t="e" cm="1" vm="12">
        <f t="array" ref="I166">_FV(H166,"Country/region",TRUE)</f>
        <v>#VALUE!</v>
      </c>
      <c r="J166" t="s">
        <v>10</v>
      </c>
      <c r="K166" t="s">
        <v>11</v>
      </c>
      <c r="L166" t="s">
        <v>38</v>
      </c>
      <c r="M166">
        <f>Table1[[#This Row],[Price]]*Table1[[#This Row],[Quantity]]</f>
        <v>2200.7000000000003</v>
      </c>
    </row>
    <row r="167" spans="2:13" x14ac:dyDescent="0.3">
      <c r="B167" s="3">
        <v>10624</v>
      </c>
      <c r="C167" s="4">
        <v>44906</v>
      </c>
      <c r="D167" t="s">
        <v>17</v>
      </c>
      <c r="E167" s="3">
        <v>4.99</v>
      </c>
      <c r="F167" s="20">
        <v>201</v>
      </c>
      <c r="G167" s="3">
        <v>2.25</v>
      </c>
      <c r="H167" t="e" vm="11">
        <v>#VALUE!</v>
      </c>
      <c r="I167" t="e" cm="1" vm="12">
        <f t="array" ref="I167">_FV(H167,"Country/region",TRUE)</f>
        <v>#VALUE!</v>
      </c>
      <c r="J167" t="s">
        <v>10</v>
      </c>
      <c r="K167" t="s">
        <v>11</v>
      </c>
      <c r="L167" t="s">
        <v>38</v>
      </c>
      <c r="M167">
        <f>Table1[[#This Row],[Price]]*Table1[[#This Row],[Quantity]]</f>
        <v>1002.99</v>
      </c>
    </row>
    <row r="168" spans="2:13" x14ac:dyDescent="0.3">
      <c r="B168" s="3">
        <v>10625</v>
      </c>
      <c r="C168" s="4">
        <v>44907</v>
      </c>
      <c r="D168" t="s">
        <v>21</v>
      </c>
      <c r="E168" s="3">
        <v>12.99</v>
      </c>
      <c r="F168" s="20">
        <v>570</v>
      </c>
      <c r="G168" s="3">
        <v>4.32</v>
      </c>
      <c r="H168" t="e" vm="11">
        <v>#VALUE!</v>
      </c>
      <c r="I168" t="e" cm="1" vm="12">
        <f t="array" ref="I168">_FV(H168,"Country/region",TRUE)</f>
        <v>#VALUE!</v>
      </c>
      <c r="J168" t="s">
        <v>10</v>
      </c>
      <c r="K168" t="s">
        <v>11</v>
      </c>
      <c r="L168" t="s">
        <v>38</v>
      </c>
      <c r="M168">
        <f>Table1[[#This Row],[Price]]*Table1[[#This Row],[Quantity]]</f>
        <v>7404.3</v>
      </c>
    </row>
    <row r="169" spans="2:13" x14ac:dyDescent="0.3">
      <c r="B169" s="3">
        <v>10626</v>
      </c>
      <c r="C169" s="4">
        <v>44907</v>
      </c>
      <c r="D169" t="s">
        <v>25</v>
      </c>
      <c r="E169" s="3">
        <v>9.9499999999999993</v>
      </c>
      <c r="F169" s="20">
        <v>202</v>
      </c>
      <c r="G169" s="3">
        <v>2.85</v>
      </c>
      <c r="H169" t="e" vm="11">
        <v>#VALUE!</v>
      </c>
      <c r="I169" t="e" cm="1" vm="12">
        <f t="array" ref="I169">_FV(H169,"Country/region",TRUE)</f>
        <v>#VALUE!</v>
      </c>
      <c r="J169" t="s">
        <v>10</v>
      </c>
      <c r="K169" t="s">
        <v>11</v>
      </c>
      <c r="L169" t="s">
        <v>38</v>
      </c>
      <c r="M169">
        <f>Table1[[#This Row],[Price]]*Table1[[#This Row],[Quantity]]</f>
        <v>2009.8999999999999</v>
      </c>
    </row>
    <row r="170" spans="2:13" x14ac:dyDescent="0.3">
      <c r="B170" s="3">
        <v>10627</v>
      </c>
      <c r="C170" s="4">
        <v>44907</v>
      </c>
      <c r="D170" t="s">
        <v>9</v>
      </c>
      <c r="E170" s="3">
        <v>3.49</v>
      </c>
      <c r="F170" s="20">
        <v>631</v>
      </c>
      <c r="G170" s="3">
        <v>0.88</v>
      </c>
      <c r="H170" t="e" vm="11">
        <v>#VALUE!</v>
      </c>
      <c r="I170" t="e" cm="1" vm="12">
        <f t="array" ref="I170">_FV(H170,"Country/region",TRUE)</f>
        <v>#VALUE!</v>
      </c>
      <c r="J170" t="s">
        <v>10</v>
      </c>
      <c r="K170" t="s">
        <v>11</v>
      </c>
      <c r="L170" t="s">
        <v>38</v>
      </c>
      <c r="M170">
        <f>Table1[[#This Row],[Price]]*Table1[[#This Row],[Quantity]]</f>
        <v>2202.19</v>
      </c>
    </row>
    <row r="171" spans="2:13" x14ac:dyDescent="0.3">
      <c r="B171" s="3">
        <v>10628</v>
      </c>
      <c r="C171" s="4">
        <v>44907</v>
      </c>
      <c r="D171" t="s">
        <v>14</v>
      </c>
      <c r="E171" s="3">
        <v>2.95</v>
      </c>
      <c r="F171" s="20">
        <v>678</v>
      </c>
      <c r="G171" s="3">
        <v>0.47</v>
      </c>
      <c r="H171" s="6" t="e" vm="15">
        <v>#VALUE!</v>
      </c>
      <c r="I171" t="e" cm="1" vm="16">
        <f t="array" ref="I171">_FV(H171,"Country/region",TRUE)</f>
        <v>#VALUE!</v>
      </c>
      <c r="J171" t="s">
        <v>10</v>
      </c>
      <c r="K171" t="s">
        <v>11</v>
      </c>
      <c r="L171" t="s">
        <v>35</v>
      </c>
      <c r="M171">
        <f>Table1[[#This Row],[Price]]*Table1[[#This Row],[Quantity]]</f>
        <v>2000.1000000000001</v>
      </c>
    </row>
    <row r="172" spans="2:13" x14ac:dyDescent="0.3">
      <c r="B172" s="3">
        <v>10629</v>
      </c>
      <c r="C172" s="4">
        <v>44907</v>
      </c>
      <c r="D172" t="s">
        <v>17</v>
      </c>
      <c r="E172" s="3">
        <v>4.99</v>
      </c>
      <c r="F172" s="20">
        <v>201</v>
      </c>
      <c r="G172" s="3">
        <v>2.25</v>
      </c>
      <c r="H172" s="6" t="e" vm="15">
        <v>#VALUE!</v>
      </c>
      <c r="I172" t="e" cm="1" vm="16">
        <f t="array" ref="I172">_FV(H172,"Country/region",TRUE)</f>
        <v>#VALUE!</v>
      </c>
      <c r="J172" t="s">
        <v>10</v>
      </c>
      <c r="K172" t="s">
        <v>11</v>
      </c>
      <c r="L172" t="s">
        <v>35</v>
      </c>
      <c r="M172">
        <f>Table1[[#This Row],[Price]]*Table1[[#This Row],[Quantity]]</f>
        <v>1002.99</v>
      </c>
    </row>
    <row r="173" spans="2:13" x14ac:dyDescent="0.3">
      <c r="B173" s="3">
        <v>10630</v>
      </c>
      <c r="C173" s="4">
        <v>44908</v>
      </c>
      <c r="D173" t="s">
        <v>21</v>
      </c>
      <c r="E173" s="3">
        <v>12.99</v>
      </c>
      <c r="F173" s="20">
        <v>570</v>
      </c>
      <c r="G173" s="3">
        <v>4.32</v>
      </c>
      <c r="H173" s="6" t="e" vm="15">
        <v>#VALUE!</v>
      </c>
      <c r="I173" t="e" cm="1" vm="16">
        <f t="array" ref="I173">_FV(H173,"Country/region",TRUE)</f>
        <v>#VALUE!</v>
      </c>
      <c r="J173" t="s">
        <v>10</v>
      </c>
      <c r="K173" t="s">
        <v>37</v>
      </c>
      <c r="L173" t="s">
        <v>35</v>
      </c>
      <c r="M173">
        <f>Table1[[#This Row],[Price]]*Table1[[#This Row],[Quantity]]</f>
        <v>7404.3</v>
      </c>
    </row>
    <row r="174" spans="2:13" x14ac:dyDescent="0.3">
      <c r="B174" s="3">
        <v>10631</v>
      </c>
      <c r="C174" s="4">
        <v>44908</v>
      </c>
      <c r="D174" t="s">
        <v>25</v>
      </c>
      <c r="E174" s="3">
        <v>9.9499999999999993</v>
      </c>
      <c r="F174" s="20">
        <v>202</v>
      </c>
      <c r="G174" s="3">
        <v>2.85</v>
      </c>
      <c r="H174" s="6" t="e" vm="15">
        <v>#VALUE!</v>
      </c>
      <c r="I174" t="e" cm="1" vm="16">
        <f t="array" ref="I174">_FV(H174,"Country/region",TRUE)</f>
        <v>#VALUE!</v>
      </c>
      <c r="J174" t="s">
        <v>10</v>
      </c>
      <c r="K174" t="s">
        <v>11</v>
      </c>
      <c r="L174" t="s">
        <v>35</v>
      </c>
      <c r="M174">
        <f>Table1[[#This Row],[Price]]*Table1[[#This Row],[Quantity]]</f>
        <v>2009.8999999999999</v>
      </c>
    </row>
    <row r="175" spans="2:13" x14ac:dyDescent="0.3">
      <c r="B175" s="3">
        <v>10632</v>
      </c>
      <c r="C175" s="4">
        <v>44908</v>
      </c>
      <c r="D175" t="s">
        <v>9</v>
      </c>
      <c r="E175" s="3">
        <v>3.49</v>
      </c>
      <c r="F175" s="20">
        <v>631</v>
      </c>
      <c r="G175" s="3">
        <v>0.88</v>
      </c>
      <c r="H175" s="6" t="e" vm="15">
        <v>#VALUE!</v>
      </c>
      <c r="I175" t="e" cm="1" vm="16">
        <f t="array" ref="I175">_FV(H175,"Country/region",TRUE)</f>
        <v>#VALUE!</v>
      </c>
      <c r="J175" t="s">
        <v>10</v>
      </c>
      <c r="K175" t="s">
        <v>11</v>
      </c>
      <c r="L175" t="s">
        <v>35</v>
      </c>
      <c r="M175">
        <f>Table1[[#This Row],[Price]]*Table1[[#This Row],[Quantity]]</f>
        <v>2202.19</v>
      </c>
    </row>
    <row r="176" spans="2:13" x14ac:dyDescent="0.3">
      <c r="B176" s="3">
        <v>10633</v>
      </c>
      <c r="C176" s="4">
        <v>44908</v>
      </c>
      <c r="D176" t="s">
        <v>14</v>
      </c>
      <c r="E176" s="3">
        <v>2.95</v>
      </c>
      <c r="F176" s="20">
        <v>678</v>
      </c>
      <c r="G176" s="3">
        <v>0.47</v>
      </c>
      <c r="H176" s="6" t="e" vm="15">
        <v>#VALUE!</v>
      </c>
      <c r="I176" t="e" cm="1" vm="16">
        <f t="array" ref="I176">_FV(H176,"Country/region",TRUE)</f>
        <v>#VALUE!</v>
      </c>
      <c r="J176" t="s">
        <v>10</v>
      </c>
      <c r="K176" t="s">
        <v>11</v>
      </c>
      <c r="L176" t="s">
        <v>35</v>
      </c>
      <c r="M176">
        <f>Table1[[#This Row],[Price]]*Table1[[#This Row],[Quantity]]</f>
        <v>2000.1000000000001</v>
      </c>
    </row>
    <row r="177" spans="2:13" x14ac:dyDescent="0.3">
      <c r="B177" s="3">
        <v>10634</v>
      </c>
      <c r="C177" s="4">
        <v>44908</v>
      </c>
      <c r="D177" t="s">
        <v>17</v>
      </c>
      <c r="E177" s="3">
        <v>4.99</v>
      </c>
      <c r="F177" s="20">
        <v>201</v>
      </c>
      <c r="G177" s="3">
        <v>2.25</v>
      </c>
      <c r="H177" s="6" t="e" vm="15">
        <v>#VALUE!</v>
      </c>
      <c r="I177" t="e" cm="1" vm="16">
        <f t="array" ref="I177">_FV(H177,"Country/region",TRUE)</f>
        <v>#VALUE!</v>
      </c>
      <c r="J177" t="s">
        <v>10</v>
      </c>
      <c r="K177" t="s">
        <v>11</v>
      </c>
      <c r="L177" t="s">
        <v>35</v>
      </c>
      <c r="M177">
        <f>Table1[[#This Row],[Price]]*Table1[[#This Row],[Quantity]]</f>
        <v>1002.99</v>
      </c>
    </row>
    <row r="178" spans="2:13" x14ac:dyDescent="0.3">
      <c r="B178" s="3">
        <v>10635</v>
      </c>
      <c r="C178" s="4">
        <v>44909</v>
      </c>
      <c r="D178" t="s">
        <v>21</v>
      </c>
      <c r="E178" s="3">
        <v>12.99</v>
      </c>
      <c r="F178" s="20">
        <v>555</v>
      </c>
      <c r="G178" s="3">
        <v>4.32</v>
      </c>
      <c r="H178" s="6" t="e" vm="15">
        <v>#VALUE!</v>
      </c>
      <c r="I178" t="e" cm="1" vm="16">
        <f t="array" ref="I178">_FV(H178,"Country/region",TRUE)</f>
        <v>#VALUE!</v>
      </c>
      <c r="J178" t="s">
        <v>10</v>
      </c>
      <c r="K178" t="s">
        <v>11</v>
      </c>
      <c r="L178" t="s">
        <v>35</v>
      </c>
      <c r="M178">
        <f>Table1[[#This Row],[Price]]*Table1[[#This Row],[Quantity]]</f>
        <v>7209.45</v>
      </c>
    </row>
    <row r="179" spans="2:13" x14ac:dyDescent="0.3">
      <c r="B179" s="3">
        <v>10636</v>
      </c>
      <c r="C179" s="4">
        <v>44909</v>
      </c>
      <c r="D179" t="s">
        <v>25</v>
      </c>
      <c r="E179" s="3">
        <v>9.9499999999999993</v>
      </c>
      <c r="F179" s="20">
        <v>222</v>
      </c>
      <c r="G179" s="3">
        <v>2.85</v>
      </c>
      <c r="H179" s="6" t="e" vm="15">
        <v>#VALUE!</v>
      </c>
      <c r="I179" t="e" cm="1" vm="16">
        <f t="array" ref="I179">_FV(H179,"Country/region",TRUE)</f>
        <v>#VALUE!</v>
      </c>
      <c r="J179" t="s">
        <v>10</v>
      </c>
      <c r="K179" t="s">
        <v>11</v>
      </c>
      <c r="L179" t="s">
        <v>35</v>
      </c>
      <c r="M179">
        <f>Table1[[#This Row],[Price]]*Table1[[#This Row],[Quantity]]</f>
        <v>2208.8999999999996</v>
      </c>
    </row>
    <row r="180" spans="2:13" x14ac:dyDescent="0.3">
      <c r="B180" s="3">
        <v>10637</v>
      </c>
      <c r="C180" s="4">
        <v>44909</v>
      </c>
      <c r="D180" t="s">
        <v>9</v>
      </c>
      <c r="E180" s="3">
        <v>3.49</v>
      </c>
      <c r="F180" s="20">
        <v>631</v>
      </c>
      <c r="G180" s="3">
        <v>0.88</v>
      </c>
      <c r="H180" s="6" t="e" vm="15">
        <v>#VALUE!</v>
      </c>
      <c r="I180" t="e" cm="1" vm="16">
        <f t="array" ref="I180">_FV(H180,"Country/region",TRUE)</f>
        <v>#VALUE!</v>
      </c>
      <c r="J180" t="s">
        <v>10</v>
      </c>
      <c r="K180" t="s">
        <v>11</v>
      </c>
      <c r="L180" t="s">
        <v>35</v>
      </c>
      <c r="M180">
        <f>Table1[[#This Row],[Price]]*Table1[[#This Row],[Quantity]]</f>
        <v>2202.19</v>
      </c>
    </row>
    <row r="181" spans="2:13" x14ac:dyDescent="0.3">
      <c r="B181" s="3">
        <v>10638</v>
      </c>
      <c r="C181" s="4">
        <v>44909</v>
      </c>
      <c r="D181" t="s">
        <v>14</v>
      </c>
      <c r="E181" s="3">
        <v>2.95</v>
      </c>
      <c r="F181" s="20">
        <v>678</v>
      </c>
      <c r="G181" s="3">
        <v>0.47</v>
      </c>
      <c r="H181" s="6" t="e" vm="15">
        <v>#VALUE!</v>
      </c>
      <c r="I181" t="e" cm="1" vm="16">
        <f t="array" ref="I181">_FV(H181,"Country/region",TRUE)</f>
        <v>#VALUE!</v>
      </c>
      <c r="J181" t="s">
        <v>10</v>
      </c>
      <c r="K181" t="s">
        <v>11</v>
      </c>
      <c r="L181" t="s">
        <v>35</v>
      </c>
      <c r="M181">
        <f>Table1[[#This Row],[Price]]*Table1[[#This Row],[Quantity]]</f>
        <v>2000.1000000000001</v>
      </c>
    </row>
    <row r="182" spans="2:13" x14ac:dyDescent="0.3">
      <c r="B182" s="3">
        <v>10639</v>
      </c>
      <c r="C182" s="4">
        <v>44909</v>
      </c>
      <c r="D182" t="s">
        <v>17</v>
      </c>
      <c r="E182" s="3">
        <v>4.99</v>
      </c>
      <c r="F182" s="20">
        <v>201</v>
      </c>
      <c r="G182" s="3">
        <v>2.25</v>
      </c>
      <c r="H182" s="6" t="e" vm="15">
        <v>#VALUE!</v>
      </c>
      <c r="I182" t="e" cm="1" vm="16">
        <f t="array" ref="I182">_FV(H182,"Country/region",TRUE)</f>
        <v>#VALUE!</v>
      </c>
      <c r="J182" t="s">
        <v>10</v>
      </c>
      <c r="K182" t="s">
        <v>11</v>
      </c>
      <c r="L182" t="s">
        <v>35</v>
      </c>
      <c r="M182">
        <f>Table1[[#This Row],[Price]]*Table1[[#This Row],[Quantity]]</f>
        <v>1002.99</v>
      </c>
    </row>
    <row r="183" spans="2:13" x14ac:dyDescent="0.3">
      <c r="B183" s="3">
        <v>10640</v>
      </c>
      <c r="C183" s="4">
        <v>44910</v>
      </c>
      <c r="D183" t="s">
        <v>21</v>
      </c>
      <c r="E183" s="3">
        <v>12.99</v>
      </c>
      <c r="F183" s="20">
        <v>539</v>
      </c>
      <c r="G183" s="3">
        <v>4.32</v>
      </c>
      <c r="H183" s="6" t="e" vm="15">
        <v>#VALUE!</v>
      </c>
      <c r="I183" t="e" cm="1" vm="16">
        <f t="array" ref="I183">_FV(H183,"Country/region",TRUE)</f>
        <v>#VALUE!</v>
      </c>
      <c r="J183" t="s">
        <v>10</v>
      </c>
      <c r="K183" t="s">
        <v>11</v>
      </c>
      <c r="L183" t="s">
        <v>35</v>
      </c>
      <c r="M183">
        <f>Table1[[#This Row],[Price]]*Table1[[#This Row],[Quantity]]</f>
        <v>7001.61</v>
      </c>
    </row>
    <row r="184" spans="2:13" x14ac:dyDescent="0.3">
      <c r="B184" s="3">
        <v>10641</v>
      </c>
      <c r="C184" s="4">
        <v>44910</v>
      </c>
      <c r="D184" t="s">
        <v>25</v>
      </c>
      <c r="E184" s="3">
        <v>9.9499999999999993</v>
      </c>
      <c r="F184" s="20">
        <v>222</v>
      </c>
      <c r="G184" s="3">
        <v>2.85</v>
      </c>
      <c r="H184" s="6" t="e" vm="15">
        <v>#VALUE!</v>
      </c>
      <c r="I184" t="e" cm="1" vm="16">
        <f t="array" ref="I184">_FV(H184,"Country/region",TRUE)</f>
        <v>#VALUE!</v>
      </c>
      <c r="J184" t="s">
        <v>10</v>
      </c>
      <c r="K184" t="s">
        <v>11</v>
      </c>
      <c r="L184" t="s">
        <v>35</v>
      </c>
      <c r="M184">
        <f>Table1[[#This Row],[Price]]*Table1[[#This Row],[Quantity]]</f>
        <v>2208.8999999999996</v>
      </c>
    </row>
    <row r="185" spans="2:13" x14ac:dyDescent="0.3">
      <c r="B185" s="3">
        <v>10642</v>
      </c>
      <c r="C185" s="4">
        <v>44910</v>
      </c>
      <c r="D185" t="s">
        <v>9</v>
      </c>
      <c r="E185" s="3">
        <v>3.49</v>
      </c>
      <c r="F185" s="20">
        <v>631</v>
      </c>
      <c r="G185" s="3">
        <v>0.88</v>
      </c>
      <c r="H185" s="6" t="e" vm="15">
        <v>#VALUE!</v>
      </c>
      <c r="I185" t="e" cm="1" vm="16">
        <f t="array" ref="I185">_FV(H185,"Country/region",TRUE)</f>
        <v>#VALUE!</v>
      </c>
      <c r="J185" t="s">
        <v>10</v>
      </c>
      <c r="K185" t="s">
        <v>37</v>
      </c>
      <c r="L185" t="s">
        <v>35</v>
      </c>
      <c r="M185">
        <f>Table1[[#This Row],[Price]]*Table1[[#This Row],[Quantity]]</f>
        <v>2202.19</v>
      </c>
    </row>
    <row r="186" spans="2:13" x14ac:dyDescent="0.3">
      <c r="B186" s="3">
        <v>10643</v>
      </c>
      <c r="C186" s="4">
        <v>44910</v>
      </c>
      <c r="D186" t="s">
        <v>14</v>
      </c>
      <c r="E186" s="3">
        <v>2.95</v>
      </c>
      <c r="F186" s="20">
        <v>678</v>
      </c>
      <c r="G186" s="3">
        <v>0.47</v>
      </c>
      <c r="H186" s="6" t="e" vm="15">
        <v>#VALUE!</v>
      </c>
      <c r="I186" t="e" cm="1" vm="16">
        <f t="array" ref="I186">_FV(H186,"Country/region",TRUE)</f>
        <v>#VALUE!</v>
      </c>
      <c r="J186" t="s">
        <v>10</v>
      </c>
      <c r="K186" t="s">
        <v>37</v>
      </c>
      <c r="L186" t="s">
        <v>35</v>
      </c>
      <c r="M186">
        <f>Table1[[#This Row],[Price]]*Table1[[#This Row],[Quantity]]</f>
        <v>2000.1000000000001</v>
      </c>
    </row>
    <row r="187" spans="2:13" x14ac:dyDescent="0.3">
      <c r="B187" s="3">
        <v>10644</v>
      </c>
      <c r="C187" s="4">
        <v>44910</v>
      </c>
      <c r="D187" t="s">
        <v>17</v>
      </c>
      <c r="E187" s="3">
        <v>4.99</v>
      </c>
      <c r="F187" s="20">
        <v>201</v>
      </c>
      <c r="G187" s="3">
        <v>2.25</v>
      </c>
      <c r="H187" s="6" t="e" vm="15">
        <v>#VALUE!</v>
      </c>
      <c r="I187" t="e" cm="1" vm="16">
        <f t="array" ref="I187">_FV(H187,"Country/region",TRUE)</f>
        <v>#VALUE!</v>
      </c>
      <c r="J187" t="s">
        <v>10</v>
      </c>
      <c r="K187" t="s">
        <v>37</v>
      </c>
      <c r="L187" t="s">
        <v>35</v>
      </c>
      <c r="M187">
        <f>Table1[[#This Row],[Price]]*Table1[[#This Row],[Quantity]]</f>
        <v>1002.99</v>
      </c>
    </row>
    <row r="188" spans="2:13" x14ac:dyDescent="0.3">
      <c r="B188" s="3">
        <v>10645</v>
      </c>
      <c r="C188" s="4">
        <v>44911</v>
      </c>
      <c r="D188" t="s">
        <v>21</v>
      </c>
      <c r="E188" s="3">
        <v>12.99</v>
      </c>
      <c r="F188" s="20">
        <v>570</v>
      </c>
      <c r="G188" s="3">
        <v>4.32</v>
      </c>
      <c r="H188" s="6" t="e" vm="15">
        <v>#VALUE!</v>
      </c>
      <c r="I188" t="e" cm="1" vm="16">
        <f t="array" ref="I188">_FV(H188,"Country/region",TRUE)</f>
        <v>#VALUE!</v>
      </c>
      <c r="J188" t="s">
        <v>10</v>
      </c>
      <c r="K188" t="s">
        <v>37</v>
      </c>
      <c r="L188" t="s">
        <v>35</v>
      </c>
      <c r="M188">
        <f>Table1[[#This Row],[Price]]*Table1[[#This Row],[Quantity]]</f>
        <v>7404.3</v>
      </c>
    </row>
    <row r="189" spans="2:13" x14ac:dyDescent="0.3">
      <c r="B189" s="3">
        <v>10646</v>
      </c>
      <c r="C189" s="4">
        <v>44911</v>
      </c>
      <c r="D189" t="s">
        <v>25</v>
      </c>
      <c r="E189" s="3">
        <v>9.9499999999999993</v>
      </c>
      <c r="F189" s="20">
        <v>222</v>
      </c>
      <c r="G189" s="3">
        <v>2.85</v>
      </c>
      <c r="H189" s="6" t="e" vm="15">
        <v>#VALUE!</v>
      </c>
      <c r="I189" t="e" cm="1" vm="16">
        <f t="array" ref="I189">_FV(H189,"Country/region",TRUE)</f>
        <v>#VALUE!</v>
      </c>
      <c r="J189" t="s">
        <v>10</v>
      </c>
      <c r="K189" t="s">
        <v>37</v>
      </c>
      <c r="L189" t="s">
        <v>35</v>
      </c>
      <c r="M189">
        <f>Table1[[#This Row],[Price]]*Table1[[#This Row],[Quantity]]</f>
        <v>2208.8999999999996</v>
      </c>
    </row>
    <row r="190" spans="2:13" x14ac:dyDescent="0.3">
      <c r="B190" s="3">
        <v>10647</v>
      </c>
      <c r="C190" s="4">
        <v>44911</v>
      </c>
      <c r="D190" t="s">
        <v>9</v>
      </c>
      <c r="E190" s="3">
        <v>3.49</v>
      </c>
      <c r="F190" s="20">
        <v>631</v>
      </c>
      <c r="G190" s="3">
        <v>0.88</v>
      </c>
      <c r="H190" s="6" t="e" vm="15">
        <v>#VALUE!</v>
      </c>
      <c r="I190" t="e" cm="1" vm="16">
        <f t="array" ref="I190">_FV(H190,"Country/region",TRUE)</f>
        <v>#VALUE!</v>
      </c>
      <c r="J190" t="s">
        <v>10</v>
      </c>
      <c r="K190" t="s">
        <v>11</v>
      </c>
      <c r="L190" t="s">
        <v>35</v>
      </c>
      <c r="M190">
        <f>Table1[[#This Row],[Price]]*Table1[[#This Row],[Quantity]]</f>
        <v>2202.19</v>
      </c>
    </row>
    <row r="191" spans="2:13" x14ac:dyDescent="0.3">
      <c r="B191" s="3">
        <v>10648</v>
      </c>
      <c r="C191" s="4">
        <v>44911</v>
      </c>
      <c r="D191" t="s">
        <v>14</v>
      </c>
      <c r="E191" s="3">
        <v>2.95</v>
      </c>
      <c r="F191" s="20">
        <v>746</v>
      </c>
      <c r="G191" s="3">
        <v>0.47</v>
      </c>
      <c r="H191" s="6" t="e" vm="15">
        <v>#VALUE!</v>
      </c>
      <c r="I191" t="e" cm="1" vm="16">
        <f t="array" ref="I191">_FV(H191,"Country/region",TRUE)</f>
        <v>#VALUE!</v>
      </c>
      <c r="J191" t="s">
        <v>10</v>
      </c>
      <c r="K191" t="s">
        <v>11</v>
      </c>
      <c r="L191" t="s">
        <v>35</v>
      </c>
      <c r="M191">
        <f>Table1[[#This Row],[Price]]*Table1[[#This Row],[Quantity]]</f>
        <v>2200.7000000000003</v>
      </c>
    </row>
    <row r="192" spans="2:13" x14ac:dyDescent="0.3">
      <c r="B192" s="3">
        <v>10649</v>
      </c>
      <c r="C192" s="4">
        <v>44911</v>
      </c>
      <c r="D192" t="s">
        <v>17</v>
      </c>
      <c r="E192" s="3">
        <v>4.99</v>
      </c>
      <c r="F192" s="20">
        <v>201</v>
      </c>
      <c r="G192" s="3">
        <v>2.25</v>
      </c>
      <c r="H192" s="6" t="e" vm="15">
        <v>#VALUE!</v>
      </c>
      <c r="I192" t="e" cm="1" vm="16">
        <f t="array" ref="I192">_FV(H192,"Country/region",TRUE)</f>
        <v>#VALUE!</v>
      </c>
      <c r="J192" t="s">
        <v>10</v>
      </c>
      <c r="K192" t="s">
        <v>11</v>
      </c>
      <c r="L192" t="s">
        <v>35</v>
      </c>
      <c r="M192">
        <f>Table1[[#This Row],[Price]]*Table1[[#This Row],[Quantity]]</f>
        <v>1002.99</v>
      </c>
    </row>
    <row r="193" spans="2:13" x14ac:dyDescent="0.3">
      <c r="B193" s="3">
        <v>10650</v>
      </c>
      <c r="C193" s="4">
        <v>44912</v>
      </c>
      <c r="D193" t="s">
        <v>21</v>
      </c>
      <c r="E193" s="3">
        <v>12.99</v>
      </c>
      <c r="F193" s="20">
        <v>586</v>
      </c>
      <c r="G193" s="3">
        <v>4.32</v>
      </c>
      <c r="H193" s="6" t="e" vm="15">
        <v>#VALUE!</v>
      </c>
      <c r="I193" t="e" cm="1" vm="16">
        <f t="array" ref="I193">_FV(H193,"Country/region",TRUE)</f>
        <v>#VALUE!</v>
      </c>
      <c r="J193" t="s">
        <v>10</v>
      </c>
      <c r="K193" t="s">
        <v>11</v>
      </c>
      <c r="L193" t="s">
        <v>35</v>
      </c>
      <c r="M193">
        <f>Table1[[#This Row],[Price]]*Table1[[#This Row],[Quantity]]</f>
        <v>7612.14</v>
      </c>
    </row>
    <row r="194" spans="2:13" x14ac:dyDescent="0.3">
      <c r="B194" s="3">
        <v>10651</v>
      </c>
      <c r="C194" s="4">
        <v>44912</v>
      </c>
      <c r="D194" t="s">
        <v>25</v>
      </c>
      <c r="E194" s="3">
        <v>9.9499999999999993</v>
      </c>
      <c r="F194" s="20">
        <v>222</v>
      </c>
      <c r="G194" s="3">
        <v>2.85</v>
      </c>
      <c r="H194" s="6" t="e" vm="15">
        <v>#VALUE!</v>
      </c>
      <c r="I194" t="e" cm="1" vm="16">
        <f t="array" ref="I194">_FV(H194,"Country/region",TRUE)</f>
        <v>#VALUE!</v>
      </c>
      <c r="J194" t="s">
        <v>10</v>
      </c>
      <c r="K194" t="s">
        <v>11</v>
      </c>
      <c r="L194" t="s">
        <v>35</v>
      </c>
      <c r="M194">
        <f>Table1[[#This Row],[Price]]*Table1[[#This Row],[Quantity]]</f>
        <v>2208.8999999999996</v>
      </c>
    </row>
    <row r="195" spans="2:13" x14ac:dyDescent="0.3">
      <c r="B195" s="3">
        <v>10652</v>
      </c>
      <c r="C195" s="4">
        <v>44912</v>
      </c>
      <c r="D195" t="s">
        <v>9</v>
      </c>
      <c r="E195" s="3">
        <v>3.49</v>
      </c>
      <c r="F195" s="20">
        <v>688</v>
      </c>
      <c r="G195" s="3">
        <v>0.88</v>
      </c>
      <c r="H195" s="6" t="e" vm="15">
        <v>#VALUE!</v>
      </c>
      <c r="I195" t="e" cm="1" vm="16">
        <f t="array" ref="I195">_FV(H195,"Country/region",TRUE)</f>
        <v>#VALUE!</v>
      </c>
      <c r="J195" t="s">
        <v>10</v>
      </c>
      <c r="K195" t="s">
        <v>11</v>
      </c>
      <c r="L195" t="s">
        <v>35</v>
      </c>
      <c r="M195">
        <f>Table1[[#This Row],[Price]]*Table1[[#This Row],[Quantity]]</f>
        <v>2401.1200000000003</v>
      </c>
    </row>
    <row r="196" spans="2:13" x14ac:dyDescent="0.3">
      <c r="B196" s="3">
        <v>10653</v>
      </c>
      <c r="C196" s="4">
        <v>44912</v>
      </c>
      <c r="D196" t="s">
        <v>14</v>
      </c>
      <c r="E196" s="3">
        <v>2.95</v>
      </c>
      <c r="F196" s="20">
        <v>746</v>
      </c>
      <c r="G196" s="3">
        <v>0.47</v>
      </c>
      <c r="H196" s="6" t="e" vm="15">
        <v>#VALUE!</v>
      </c>
      <c r="I196" t="e" cm="1" vm="16">
        <f t="array" ref="I196">_FV(H196,"Country/region",TRUE)</f>
        <v>#VALUE!</v>
      </c>
      <c r="J196" t="s">
        <v>10</v>
      </c>
      <c r="K196" t="s">
        <v>11</v>
      </c>
      <c r="L196" t="s">
        <v>35</v>
      </c>
      <c r="M196">
        <f>Table1[[#This Row],[Price]]*Table1[[#This Row],[Quantity]]</f>
        <v>2200.7000000000003</v>
      </c>
    </row>
    <row r="197" spans="2:13" x14ac:dyDescent="0.3">
      <c r="B197" s="3">
        <v>10654</v>
      </c>
      <c r="C197" s="4">
        <v>44912</v>
      </c>
      <c r="D197" t="s">
        <v>17</v>
      </c>
      <c r="E197" s="3">
        <v>4.99</v>
      </c>
      <c r="F197" s="20">
        <v>201</v>
      </c>
      <c r="G197" s="3">
        <v>2.25</v>
      </c>
      <c r="H197" s="6" t="e" vm="15">
        <v>#VALUE!</v>
      </c>
      <c r="I197" t="e" cm="1" vm="16">
        <f t="array" ref="I197">_FV(H197,"Country/region",TRUE)</f>
        <v>#VALUE!</v>
      </c>
      <c r="J197" t="s">
        <v>10</v>
      </c>
      <c r="K197" t="s">
        <v>11</v>
      </c>
      <c r="L197" t="s">
        <v>35</v>
      </c>
      <c r="M197">
        <f>Table1[[#This Row],[Price]]*Table1[[#This Row],[Quantity]]</f>
        <v>1002.99</v>
      </c>
    </row>
    <row r="198" spans="2:13" x14ac:dyDescent="0.3">
      <c r="B198" s="3">
        <v>10655</v>
      </c>
      <c r="C198" s="4">
        <v>44913</v>
      </c>
      <c r="D198" t="s">
        <v>21</v>
      </c>
      <c r="E198" s="3">
        <v>12.99</v>
      </c>
      <c r="F198" s="20">
        <v>601</v>
      </c>
      <c r="G198" s="3">
        <v>4.32</v>
      </c>
      <c r="H198" s="6" t="e" vm="15">
        <v>#VALUE!</v>
      </c>
      <c r="I198" t="e" cm="1" vm="16">
        <f t="array" ref="I198">_FV(H198,"Country/region",TRUE)</f>
        <v>#VALUE!</v>
      </c>
      <c r="J198" t="s">
        <v>10</v>
      </c>
      <c r="K198" t="s">
        <v>11</v>
      </c>
      <c r="L198" t="s">
        <v>35</v>
      </c>
      <c r="M198">
        <f>Table1[[#This Row],[Price]]*Table1[[#This Row],[Quantity]]</f>
        <v>7806.99</v>
      </c>
    </row>
    <row r="199" spans="2:13" x14ac:dyDescent="0.3">
      <c r="B199" s="3">
        <v>10656</v>
      </c>
      <c r="C199" s="4">
        <v>44913</v>
      </c>
      <c r="D199" t="s">
        <v>25</v>
      </c>
      <c r="E199" s="3">
        <v>9.9499999999999993</v>
      </c>
      <c r="F199" s="20">
        <v>222</v>
      </c>
      <c r="G199" s="3">
        <v>2.85</v>
      </c>
      <c r="H199" s="6" t="e" vm="15">
        <v>#VALUE!</v>
      </c>
      <c r="I199" t="e" cm="1" vm="16">
        <f t="array" ref="I199">_FV(H199,"Country/region",TRUE)</f>
        <v>#VALUE!</v>
      </c>
      <c r="J199" t="s">
        <v>10</v>
      </c>
      <c r="K199" t="s">
        <v>11</v>
      </c>
      <c r="L199" t="s">
        <v>35</v>
      </c>
      <c r="M199">
        <f>Table1[[#This Row],[Price]]*Table1[[#This Row],[Quantity]]</f>
        <v>2208.8999999999996</v>
      </c>
    </row>
    <row r="200" spans="2:13" x14ac:dyDescent="0.3">
      <c r="B200" s="3">
        <v>10657</v>
      </c>
      <c r="C200" s="4">
        <v>44913</v>
      </c>
      <c r="D200" t="s">
        <v>9</v>
      </c>
      <c r="E200" s="3">
        <v>3.49</v>
      </c>
      <c r="F200" s="20">
        <v>688</v>
      </c>
      <c r="G200" s="3">
        <v>0.88</v>
      </c>
      <c r="H200" s="6" t="e" vm="15">
        <v>#VALUE!</v>
      </c>
      <c r="I200" t="e" cm="1" vm="16">
        <f t="array" ref="I200">_FV(H200,"Country/region",TRUE)</f>
        <v>#VALUE!</v>
      </c>
      <c r="J200" t="s">
        <v>10</v>
      </c>
      <c r="K200" t="s">
        <v>11</v>
      </c>
      <c r="L200" t="s">
        <v>35</v>
      </c>
      <c r="M200">
        <f>Table1[[#This Row],[Price]]*Table1[[#This Row],[Quantity]]</f>
        <v>2401.1200000000003</v>
      </c>
    </row>
    <row r="201" spans="2:13" x14ac:dyDescent="0.3">
      <c r="B201" s="3">
        <v>10658</v>
      </c>
      <c r="C201" s="4">
        <v>44913</v>
      </c>
      <c r="D201" t="s">
        <v>14</v>
      </c>
      <c r="E201" s="3">
        <v>2.95</v>
      </c>
      <c r="F201" s="20">
        <v>746</v>
      </c>
      <c r="G201" s="3">
        <v>0.47</v>
      </c>
      <c r="H201" s="6" t="e" vm="15">
        <v>#VALUE!</v>
      </c>
      <c r="I201" t="e" cm="1" vm="16">
        <f t="array" ref="I201">_FV(H201,"Country/region",TRUE)</f>
        <v>#VALUE!</v>
      </c>
      <c r="J201" t="s">
        <v>10</v>
      </c>
      <c r="K201" t="s">
        <v>37</v>
      </c>
      <c r="L201" t="s">
        <v>35</v>
      </c>
      <c r="M201">
        <f>Table1[[#This Row],[Price]]*Table1[[#This Row],[Quantity]]</f>
        <v>2200.7000000000003</v>
      </c>
    </row>
    <row r="202" spans="2:13" x14ac:dyDescent="0.3">
      <c r="B202" s="3">
        <v>10659</v>
      </c>
      <c r="C202" s="4">
        <v>44913</v>
      </c>
      <c r="D202" t="s">
        <v>17</v>
      </c>
      <c r="E202" s="3">
        <v>4.99</v>
      </c>
      <c r="F202" s="20">
        <v>201</v>
      </c>
      <c r="G202" s="3">
        <v>2.25</v>
      </c>
      <c r="H202" s="6" t="e" vm="15">
        <v>#VALUE!</v>
      </c>
      <c r="I202" t="e" cm="1" vm="16">
        <f t="array" ref="I202">_FV(H202,"Country/region",TRUE)</f>
        <v>#VALUE!</v>
      </c>
      <c r="J202" t="s">
        <v>10</v>
      </c>
      <c r="K202" t="s">
        <v>37</v>
      </c>
      <c r="L202" t="s">
        <v>35</v>
      </c>
      <c r="M202">
        <f>Table1[[#This Row],[Price]]*Table1[[#This Row],[Quantity]]</f>
        <v>1002.99</v>
      </c>
    </row>
    <row r="203" spans="2:13" x14ac:dyDescent="0.3">
      <c r="B203" s="3">
        <v>10660</v>
      </c>
      <c r="C203" s="4">
        <v>44914</v>
      </c>
      <c r="D203" t="s">
        <v>21</v>
      </c>
      <c r="E203" s="3">
        <v>12.99</v>
      </c>
      <c r="F203" s="20">
        <v>632</v>
      </c>
      <c r="G203" s="3">
        <v>4.32</v>
      </c>
      <c r="H203" s="6" t="e" vm="15">
        <v>#VALUE!</v>
      </c>
      <c r="I203" t="e" cm="1" vm="16">
        <f t="array" ref="I203">_FV(H203,"Country/region",TRUE)</f>
        <v>#VALUE!</v>
      </c>
      <c r="J203" t="s">
        <v>18</v>
      </c>
      <c r="K203" t="s">
        <v>37</v>
      </c>
      <c r="L203" t="s">
        <v>35</v>
      </c>
      <c r="M203">
        <f>Table1[[#This Row],[Price]]*Table1[[#This Row],[Quantity]]</f>
        <v>8209.68</v>
      </c>
    </row>
    <row r="204" spans="2:13" x14ac:dyDescent="0.3">
      <c r="B204" s="3">
        <v>10661</v>
      </c>
      <c r="C204" s="4">
        <v>44914</v>
      </c>
      <c r="D204" t="s">
        <v>25</v>
      </c>
      <c r="E204" s="3">
        <v>9.9499999999999993</v>
      </c>
      <c r="F204" s="20">
        <v>222</v>
      </c>
      <c r="G204" s="3">
        <v>2.85</v>
      </c>
      <c r="H204" s="6" t="e" vm="15">
        <v>#VALUE!</v>
      </c>
      <c r="I204" t="e" cm="1" vm="16">
        <f t="array" ref="I204">_FV(H204,"Country/region",TRUE)</f>
        <v>#VALUE!</v>
      </c>
      <c r="J204" t="s">
        <v>18</v>
      </c>
      <c r="K204" t="s">
        <v>37</v>
      </c>
      <c r="L204" t="s">
        <v>35</v>
      </c>
      <c r="M204">
        <f>Table1[[#This Row],[Price]]*Table1[[#This Row],[Quantity]]</f>
        <v>2208.8999999999996</v>
      </c>
    </row>
    <row r="205" spans="2:13" x14ac:dyDescent="0.3">
      <c r="B205" s="3">
        <v>10662</v>
      </c>
      <c r="C205" s="4">
        <v>44914</v>
      </c>
      <c r="D205" t="s">
        <v>9</v>
      </c>
      <c r="E205" s="3">
        <v>3.49</v>
      </c>
      <c r="F205" s="20">
        <v>631</v>
      </c>
      <c r="G205" s="3">
        <v>0.88</v>
      </c>
      <c r="H205" s="6" t="e" vm="15">
        <v>#VALUE!</v>
      </c>
      <c r="I205" t="e" cm="1" vm="16">
        <f t="array" ref="I205">_FV(H205,"Country/region",TRUE)</f>
        <v>#VALUE!</v>
      </c>
      <c r="J205" t="s">
        <v>18</v>
      </c>
      <c r="K205" t="s">
        <v>37</v>
      </c>
      <c r="L205" t="s">
        <v>35</v>
      </c>
      <c r="M205">
        <f>Table1[[#This Row],[Price]]*Table1[[#This Row],[Quantity]]</f>
        <v>2202.19</v>
      </c>
    </row>
    <row r="206" spans="2:13" x14ac:dyDescent="0.3">
      <c r="B206" s="3">
        <v>10663</v>
      </c>
      <c r="C206" s="4">
        <v>44914</v>
      </c>
      <c r="D206" t="s">
        <v>14</v>
      </c>
      <c r="E206" s="3">
        <v>2.95</v>
      </c>
      <c r="F206" s="20">
        <v>746</v>
      </c>
      <c r="G206" s="3">
        <v>0.47</v>
      </c>
      <c r="H206" s="6" t="e" vm="15">
        <v>#VALUE!</v>
      </c>
      <c r="I206" t="e" cm="1" vm="16">
        <f t="array" ref="I206">_FV(H206,"Country/region",TRUE)</f>
        <v>#VALUE!</v>
      </c>
      <c r="J206" t="s">
        <v>18</v>
      </c>
      <c r="K206" t="s">
        <v>37</v>
      </c>
      <c r="L206" t="s">
        <v>35</v>
      </c>
      <c r="M206">
        <f>Table1[[#This Row],[Price]]*Table1[[#This Row],[Quantity]]</f>
        <v>2200.7000000000003</v>
      </c>
    </row>
    <row r="207" spans="2:13" x14ac:dyDescent="0.3">
      <c r="B207" s="3">
        <v>10664</v>
      </c>
      <c r="C207" s="4">
        <v>44914</v>
      </c>
      <c r="D207" t="s">
        <v>17</v>
      </c>
      <c r="E207" s="3">
        <v>4.99</v>
      </c>
      <c r="F207" s="20">
        <v>201</v>
      </c>
      <c r="G207" s="3">
        <v>2.25</v>
      </c>
      <c r="H207" s="6" t="e" vm="15">
        <v>#VALUE!</v>
      </c>
      <c r="I207" t="e" cm="1" vm="16">
        <f t="array" ref="I207">_FV(H207,"Country/region",TRUE)</f>
        <v>#VALUE!</v>
      </c>
      <c r="J207" t="s">
        <v>18</v>
      </c>
      <c r="K207" t="s">
        <v>37</v>
      </c>
      <c r="L207" t="s">
        <v>35</v>
      </c>
      <c r="M207">
        <f>Table1[[#This Row],[Price]]*Table1[[#This Row],[Quantity]]</f>
        <v>1002.99</v>
      </c>
    </row>
    <row r="208" spans="2:13" x14ac:dyDescent="0.3">
      <c r="B208" s="3">
        <v>10665</v>
      </c>
      <c r="C208" s="4">
        <v>44915</v>
      </c>
      <c r="D208" t="s">
        <v>21</v>
      </c>
      <c r="E208" s="3">
        <v>12.99</v>
      </c>
      <c r="F208" s="20">
        <v>647</v>
      </c>
      <c r="G208" s="3">
        <v>4.32</v>
      </c>
      <c r="H208" s="6" t="e" vm="15">
        <v>#VALUE!</v>
      </c>
      <c r="I208" t="e" cm="1" vm="16">
        <f t="array" ref="I208">_FV(H208,"Country/region",TRUE)</f>
        <v>#VALUE!</v>
      </c>
      <c r="J208" t="s">
        <v>18</v>
      </c>
      <c r="K208" t="s">
        <v>37</v>
      </c>
      <c r="L208" t="s">
        <v>35</v>
      </c>
      <c r="M208">
        <f>Table1[[#This Row],[Price]]*Table1[[#This Row],[Quantity]]</f>
        <v>8404.5300000000007</v>
      </c>
    </row>
    <row r="209" spans="2:13" x14ac:dyDescent="0.3">
      <c r="B209" s="3">
        <v>10666</v>
      </c>
      <c r="C209" s="4">
        <v>44915</v>
      </c>
      <c r="D209" t="s">
        <v>25</v>
      </c>
      <c r="E209" s="3">
        <v>9.9499999999999993</v>
      </c>
      <c r="F209" s="20">
        <v>222</v>
      </c>
      <c r="G209" s="3">
        <v>2.85</v>
      </c>
      <c r="H209" s="6" t="e" vm="15">
        <v>#VALUE!</v>
      </c>
      <c r="I209" t="e" cm="1" vm="16">
        <f t="array" ref="I209">_FV(H209,"Country/region",TRUE)</f>
        <v>#VALUE!</v>
      </c>
      <c r="J209" t="s">
        <v>18</v>
      </c>
      <c r="K209" t="s">
        <v>37</v>
      </c>
      <c r="L209" t="s">
        <v>35</v>
      </c>
      <c r="M209">
        <f>Table1[[#This Row],[Price]]*Table1[[#This Row],[Quantity]]</f>
        <v>2208.8999999999996</v>
      </c>
    </row>
    <row r="210" spans="2:13" x14ac:dyDescent="0.3">
      <c r="B210" s="3">
        <v>10667</v>
      </c>
      <c r="C210" s="4">
        <v>44915</v>
      </c>
      <c r="D210" t="s">
        <v>9</v>
      </c>
      <c r="E210" s="3">
        <v>3.49</v>
      </c>
      <c r="F210" s="20">
        <v>631</v>
      </c>
      <c r="G210" s="3">
        <v>0.88</v>
      </c>
      <c r="H210" s="6" t="e" vm="15">
        <v>#VALUE!</v>
      </c>
      <c r="I210" t="e" cm="1" vm="16">
        <f t="array" ref="I210">_FV(H210,"Country/region",TRUE)</f>
        <v>#VALUE!</v>
      </c>
      <c r="J210" t="s">
        <v>18</v>
      </c>
      <c r="K210" t="s">
        <v>37</v>
      </c>
      <c r="L210" t="s">
        <v>35</v>
      </c>
      <c r="M210">
        <f>Table1[[#This Row],[Price]]*Table1[[#This Row],[Quantity]]</f>
        <v>2202.19</v>
      </c>
    </row>
    <row r="211" spans="2:13" x14ac:dyDescent="0.3">
      <c r="B211" s="3">
        <v>10668</v>
      </c>
      <c r="C211" s="4">
        <v>44915</v>
      </c>
      <c r="D211" t="s">
        <v>14</v>
      </c>
      <c r="E211" s="3">
        <v>2.95</v>
      </c>
      <c r="F211" s="20">
        <v>746</v>
      </c>
      <c r="G211" s="3">
        <v>0.47</v>
      </c>
      <c r="H211" s="6" t="e" vm="15">
        <v>#VALUE!</v>
      </c>
      <c r="I211" t="e" cm="1" vm="16">
        <f t="array" ref="I211">_FV(H211,"Country/region",TRUE)</f>
        <v>#VALUE!</v>
      </c>
      <c r="J211" t="s">
        <v>18</v>
      </c>
      <c r="K211" t="s">
        <v>37</v>
      </c>
      <c r="L211" t="s">
        <v>35</v>
      </c>
      <c r="M211">
        <f>Table1[[#This Row],[Price]]*Table1[[#This Row],[Quantity]]</f>
        <v>2200.7000000000003</v>
      </c>
    </row>
    <row r="212" spans="2:13" x14ac:dyDescent="0.3">
      <c r="B212" s="3">
        <v>10669</v>
      </c>
      <c r="C212" s="4">
        <v>44915</v>
      </c>
      <c r="D212" t="s">
        <v>17</v>
      </c>
      <c r="E212" s="3">
        <v>4.99</v>
      </c>
      <c r="F212" s="20">
        <v>201</v>
      </c>
      <c r="G212" s="3">
        <v>2.25</v>
      </c>
      <c r="H212" s="6" t="e" vm="15">
        <v>#VALUE!</v>
      </c>
      <c r="I212" t="e" cm="1" vm="16">
        <f t="array" ref="I212">_FV(H212,"Country/region",TRUE)</f>
        <v>#VALUE!</v>
      </c>
      <c r="J212" t="s">
        <v>18</v>
      </c>
      <c r="K212" t="s">
        <v>37</v>
      </c>
      <c r="L212" t="s">
        <v>35</v>
      </c>
      <c r="M212">
        <f>Table1[[#This Row],[Price]]*Table1[[#This Row],[Quantity]]</f>
        <v>1002.99</v>
      </c>
    </row>
    <row r="213" spans="2:13" x14ac:dyDescent="0.3">
      <c r="B213" s="3">
        <v>10670</v>
      </c>
      <c r="C213" s="4">
        <v>44916</v>
      </c>
      <c r="D213" t="s">
        <v>21</v>
      </c>
      <c r="E213" s="3">
        <v>12.99</v>
      </c>
      <c r="F213" s="20">
        <v>678</v>
      </c>
      <c r="G213" s="3">
        <v>4.32</v>
      </c>
      <c r="H213" s="6" t="e" vm="15">
        <v>#VALUE!</v>
      </c>
      <c r="I213" t="e" cm="1" vm="16">
        <f t="array" ref="I213">_FV(H213,"Country/region",TRUE)</f>
        <v>#VALUE!</v>
      </c>
      <c r="J213" t="s">
        <v>18</v>
      </c>
      <c r="K213" t="s">
        <v>37</v>
      </c>
      <c r="L213" t="s">
        <v>35</v>
      </c>
      <c r="M213">
        <f>Table1[[#This Row],[Price]]*Table1[[#This Row],[Quantity]]</f>
        <v>8807.2199999999993</v>
      </c>
    </row>
    <row r="214" spans="2:13" x14ac:dyDescent="0.3">
      <c r="B214" s="3">
        <v>10671</v>
      </c>
      <c r="C214" s="4">
        <v>44916</v>
      </c>
      <c r="D214" t="s">
        <v>25</v>
      </c>
      <c r="E214" s="3">
        <v>9.9499999999999993</v>
      </c>
      <c r="F214" s="20">
        <v>222</v>
      </c>
      <c r="G214" s="3">
        <v>2.85</v>
      </c>
      <c r="H214" s="6" t="e" vm="15">
        <v>#VALUE!</v>
      </c>
      <c r="I214" t="e" cm="1" vm="16">
        <f t="array" ref="I214">_FV(H214,"Country/region",TRUE)</f>
        <v>#VALUE!</v>
      </c>
      <c r="J214" t="s">
        <v>18</v>
      </c>
      <c r="K214" t="s">
        <v>37</v>
      </c>
      <c r="L214" t="s">
        <v>35</v>
      </c>
      <c r="M214">
        <f>Table1[[#This Row],[Price]]*Table1[[#This Row],[Quantity]]</f>
        <v>2208.8999999999996</v>
      </c>
    </row>
    <row r="215" spans="2:13" x14ac:dyDescent="0.3">
      <c r="B215" s="3">
        <v>10672</v>
      </c>
      <c r="C215" s="4">
        <v>44916</v>
      </c>
      <c r="D215" t="s">
        <v>9</v>
      </c>
      <c r="E215" s="3">
        <v>3.49</v>
      </c>
      <c r="F215" s="20">
        <v>631</v>
      </c>
      <c r="G215" s="3">
        <v>0.88</v>
      </c>
      <c r="H215" s="6" t="e" vm="15">
        <v>#VALUE!</v>
      </c>
      <c r="I215" t="e" cm="1" vm="16">
        <f t="array" ref="I215">_FV(H215,"Country/region",TRUE)</f>
        <v>#VALUE!</v>
      </c>
      <c r="J215" t="s">
        <v>18</v>
      </c>
      <c r="K215" t="s">
        <v>37</v>
      </c>
      <c r="L215" t="s">
        <v>35</v>
      </c>
      <c r="M215">
        <f>Table1[[#This Row],[Price]]*Table1[[#This Row],[Quantity]]</f>
        <v>2202.19</v>
      </c>
    </row>
    <row r="216" spans="2:13" x14ac:dyDescent="0.3">
      <c r="B216" s="3">
        <v>10673</v>
      </c>
      <c r="C216" s="4">
        <v>44916</v>
      </c>
      <c r="D216" t="s">
        <v>14</v>
      </c>
      <c r="E216" s="3">
        <v>2.95</v>
      </c>
      <c r="F216" s="20">
        <v>746</v>
      </c>
      <c r="G216" s="3">
        <v>0.47</v>
      </c>
      <c r="H216" s="6" t="e" vm="15">
        <v>#VALUE!</v>
      </c>
      <c r="I216" t="e" cm="1" vm="16">
        <f t="array" ref="I216">_FV(H216,"Country/region",TRUE)</f>
        <v>#VALUE!</v>
      </c>
      <c r="J216" t="s">
        <v>18</v>
      </c>
      <c r="K216" t="s">
        <v>37</v>
      </c>
      <c r="L216" t="s">
        <v>35</v>
      </c>
      <c r="M216">
        <f>Table1[[#This Row],[Price]]*Table1[[#This Row],[Quantity]]</f>
        <v>2200.7000000000003</v>
      </c>
    </row>
    <row r="217" spans="2:13" x14ac:dyDescent="0.3">
      <c r="B217" s="3">
        <v>10674</v>
      </c>
      <c r="C217" s="4">
        <v>44916</v>
      </c>
      <c r="D217" t="s">
        <v>17</v>
      </c>
      <c r="E217" s="3">
        <v>4.99</v>
      </c>
      <c r="F217" s="20">
        <v>201</v>
      </c>
      <c r="G217" s="3">
        <v>2.25</v>
      </c>
      <c r="H217" s="6" t="e" vm="15">
        <v>#VALUE!</v>
      </c>
      <c r="I217" t="e" cm="1" vm="16">
        <f t="array" ref="I217">_FV(H217,"Country/region",TRUE)</f>
        <v>#VALUE!</v>
      </c>
      <c r="J217" t="s">
        <v>18</v>
      </c>
      <c r="K217" t="s">
        <v>37</v>
      </c>
      <c r="L217" t="s">
        <v>35</v>
      </c>
      <c r="M217">
        <f>Table1[[#This Row],[Price]]*Table1[[#This Row],[Quantity]]</f>
        <v>1002.99</v>
      </c>
    </row>
    <row r="218" spans="2:13" x14ac:dyDescent="0.3">
      <c r="B218" s="3">
        <v>10675</v>
      </c>
      <c r="C218" s="4">
        <v>44917</v>
      </c>
      <c r="D218" t="s">
        <v>21</v>
      </c>
      <c r="E218" s="3">
        <v>12.99</v>
      </c>
      <c r="F218" s="20">
        <v>678</v>
      </c>
      <c r="G218" s="3">
        <v>4.32</v>
      </c>
      <c r="H218" s="6" t="e" vm="15">
        <v>#VALUE!</v>
      </c>
      <c r="I218" t="e" cm="1" vm="16">
        <f t="array" ref="I218">_FV(H218,"Country/region",TRUE)</f>
        <v>#VALUE!</v>
      </c>
      <c r="J218" t="s">
        <v>18</v>
      </c>
      <c r="K218" t="s">
        <v>37</v>
      </c>
      <c r="L218" t="s">
        <v>35</v>
      </c>
      <c r="M218">
        <f>Table1[[#This Row],[Price]]*Table1[[#This Row],[Quantity]]</f>
        <v>8807.2199999999993</v>
      </c>
    </row>
    <row r="219" spans="2:13" x14ac:dyDescent="0.3">
      <c r="B219" s="3">
        <v>10676</v>
      </c>
      <c r="C219" s="4">
        <v>44917</v>
      </c>
      <c r="D219" t="s">
        <v>25</v>
      </c>
      <c r="E219" s="3">
        <v>9.9499999999999993</v>
      </c>
      <c r="F219" s="20">
        <v>242</v>
      </c>
      <c r="G219" s="3">
        <v>2.85</v>
      </c>
      <c r="H219" s="6" t="e" vm="15">
        <v>#VALUE!</v>
      </c>
      <c r="I219" t="e" cm="1" vm="16">
        <f t="array" ref="I219">_FV(H219,"Country/region",TRUE)</f>
        <v>#VALUE!</v>
      </c>
      <c r="J219" t="s">
        <v>18</v>
      </c>
      <c r="K219" t="s">
        <v>37</v>
      </c>
      <c r="L219" t="s">
        <v>35</v>
      </c>
      <c r="M219">
        <f>Table1[[#This Row],[Price]]*Table1[[#This Row],[Quantity]]</f>
        <v>2407.8999999999996</v>
      </c>
    </row>
    <row r="220" spans="2:13" x14ac:dyDescent="0.3">
      <c r="B220" s="3">
        <v>10677</v>
      </c>
      <c r="C220" s="4">
        <v>44917</v>
      </c>
      <c r="D220" t="s">
        <v>9</v>
      </c>
      <c r="E220" s="3">
        <v>3.49</v>
      </c>
      <c r="F220" s="20">
        <v>631</v>
      </c>
      <c r="G220" s="3">
        <v>0.88</v>
      </c>
      <c r="H220" s="6" t="e" vm="15">
        <v>#VALUE!</v>
      </c>
      <c r="I220" t="e" cm="1" vm="16">
        <f t="array" ref="I220">_FV(H220,"Country/region",TRUE)</f>
        <v>#VALUE!</v>
      </c>
      <c r="J220" t="s">
        <v>18</v>
      </c>
      <c r="K220" t="s">
        <v>37</v>
      </c>
      <c r="L220" t="s">
        <v>35</v>
      </c>
      <c r="M220">
        <f>Table1[[#This Row],[Price]]*Table1[[#This Row],[Quantity]]</f>
        <v>2202.19</v>
      </c>
    </row>
    <row r="221" spans="2:13" x14ac:dyDescent="0.3">
      <c r="B221" s="3">
        <v>10678</v>
      </c>
      <c r="C221" s="4">
        <v>44917</v>
      </c>
      <c r="D221" t="s">
        <v>14</v>
      </c>
      <c r="E221" s="3">
        <v>2.95</v>
      </c>
      <c r="F221" s="20">
        <v>746</v>
      </c>
      <c r="G221" s="3">
        <v>0.47</v>
      </c>
      <c r="H221" s="6" t="e" vm="15">
        <v>#VALUE!</v>
      </c>
      <c r="I221" t="e" cm="1" vm="16">
        <f t="array" ref="I221">_FV(H221,"Country/region",TRUE)</f>
        <v>#VALUE!</v>
      </c>
      <c r="J221" t="s">
        <v>18</v>
      </c>
      <c r="K221" t="s">
        <v>37</v>
      </c>
      <c r="L221" t="s">
        <v>35</v>
      </c>
      <c r="M221">
        <f>Table1[[#This Row],[Price]]*Table1[[#This Row],[Quantity]]</f>
        <v>2200.7000000000003</v>
      </c>
    </row>
    <row r="222" spans="2:13" x14ac:dyDescent="0.3">
      <c r="B222" s="3">
        <v>10679</v>
      </c>
      <c r="C222" s="4">
        <v>44917</v>
      </c>
      <c r="D222" t="s">
        <v>17</v>
      </c>
      <c r="E222" s="3">
        <v>4.99</v>
      </c>
      <c r="F222" s="20">
        <v>201</v>
      </c>
      <c r="G222" s="3">
        <v>2.25</v>
      </c>
      <c r="H222" s="6" t="e" vm="15">
        <v>#VALUE!</v>
      </c>
      <c r="I222" t="e" cm="1" vm="16">
        <f t="array" ref="I222">_FV(H222,"Country/region",TRUE)</f>
        <v>#VALUE!</v>
      </c>
      <c r="J222" t="s">
        <v>18</v>
      </c>
      <c r="K222" t="s">
        <v>37</v>
      </c>
      <c r="L222" t="s">
        <v>35</v>
      </c>
      <c r="M222">
        <f>Table1[[#This Row],[Price]]*Table1[[#This Row],[Quantity]]</f>
        <v>1002.99</v>
      </c>
    </row>
    <row r="223" spans="2:13" x14ac:dyDescent="0.3">
      <c r="B223" s="3">
        <v>10680</v>
      </c>
      <c r="C223" s="4">
        <v>44918</v>
      </c>
      <c r="D223" t="s">
        <v>21</v>
      </c>
      <c r="E223" s="3">
        <v>12.99</v>
      </c>
      <c r="F223" s="20">
        <v>647</v>
      </c>
      <c r="G223" s="3">
        <v>4.32</v>
      </c>
      <c r="H223" s="6" t="e" vm="15">
        <v>#VALUE!</v>
      </c>
      <c r="I223" t="e" cm="1" vm="16">
        <f t="array" ref="I223">_FV(H223,"Country/region",TRUE)</f>
        <v>#VALUE!</v>
      </c>
      <c r="J223" t="s">
        <v>18</v>
      </c>
      <c r="K223" t="s">
        <v>37</v>
      </c>
      <c r="L223" t="s">
        <v>35</v>
      </c>
      <c r="M223">
        <f>Table1[[#This Row],[Price]]*Table1[[#This Row],[Quantity]]</f>
        <v>8404.5300000000007</v>
      </c>
    </row>
    <row r="224" spans="2:13" x14ac:dyDescent="0.3">
      <c r="B224" s="3">
        <v>10681</v>
      </c>
      <c r="C224" s="4">
        <v>44918</v>
      </c>
      <c r="D224" t="s">
        <v>25</v>
      </c>
      <c r="E224" s="3">
        <v>9.9499999999999993</v>
      </c>
      <c r="F224" s="20">
        <v>242</v>
      </c>
      <c r="G224" s="3">
        <v>2.85</v>
      </c>
      <c r="H224" s="6" t="e" vm="15">
        <v>#VALUE!</v>
      </c>
      <c r="I224" t="e" cm="1" vm="16">
        <f t="array" ref="I224">_FV(H224,"Country/region",TRUE)</f>
        <v>#VALUE!</v>
      </c>
      <c r="J224" t="s">
        <v>18</v>
      </c>
      <c r="K224" t="s">
        <v>37</v>
      </c>
      <c r="L224" t="s">
        <v>35</v>
      </c>
      <c r="M224">
        <f>Table1[[#This Row],[Price]]*Table1[[#This Row],[Quantity]]</f>
        <v>2407.8999999999996</v>
      </c>
    </row>
    <row r="225" spans="2:13" x14ac:dyDescent="0.3">
      <c r="B225" s="3">
        <v>10682</v>
      </c>
      <c r="C225" s="4">
        <v>44918</v>
      </c>
      <c r="D225" t="s">
        <v>9</v>
      </c>
      <c r="E225" s="3">
        <v>3.49</v>
      </c>
      <c r="F225" s="20">
        <v>631</v>
      </c>
      <c r="G225" s="3">
        <v>0.88</v>
      </c>
      <c r="H225" s="6" t="e" vm="15">
        <v>#VALUE!</v>
      </c>
      <c r="I225" t="e" cm="1" vm="16">
        <f t="array" ref="I225">_FV(H225,"Country/region",TRUE)</f>
        <v>#VALUE!</v>
      </c>
      <c r="J225" t="s">
        <v>18</v>
      </c>
      <c r="K225" t="s">
        <v>37</v>
      </c>
      <c r="L225" t="s">
        <v>35</v>
      </c>
      <c r="M225">
        <f>Table1[[#This Row],[Price]]*Table1[[#This Row],[Quantity]]</f>
        <v>2202.19</v>
      </c>
    </row>
    <row r="226" spans="2:13" x14ac:dyDescent="0.3">
      <c r="B226" s="3">
        <v>10683</v>
      </c>
      <c r="C226" s="4">
        <v>44918</v>
      </c>
      <c r="D226" t="s">
        <v>14</v>
      </c>
      <c r="E226" s="3">
        <v>2.95</v>
      </c>
      <c r="F226" s="20">
        <v>678</v>
      </c>
      <c r="G226" s="3">
        <v>0.47</v>
      </c>
      <c r="H226" s="6" t="e" vm="15">
        <v>#VALUE!</v>
      </c>
      <c r="I226" t="e" cm="1" vm="16">
        <f t="array" ref="I226">_FV(H226,"Country/region",TRUE)</f>
        <v>#VALUE!</v>
      </c>
      <c r="J226" t="s">
        <v>18</v>
      </c>
      <c r="K226" t="s">
        <v>37</v>
      </c>
      <c r="L226" t="s">
        <v>35</v>
      </c>
      <c r="M226">
        <f>Table1[[#This Row],[Price]]*Table1[[#This Row],[Quantity]]</f>
        <v>2000.1000000000001</v>
      </c>
    </row>
    <row r="227" spans="2:13" x14ac:dyDescent="0.3">
      <c r="B227" s="3">
        <v>10684</v>
      </c>
      <c r="C227" s="4">
        <v>44918</v>
      </c>
      <c r="D227" t="s">
        <v>17</v>
      </c>
      <c r="E227" s="3">
        <v>4.99</v>
      </c>
      <c r="F227" s="20">
        <v>201</v>
      </c>
      <c r="G227" s="3">
        <v>2.25</v>
      </c>
      <c r="H227" s="6" t="e" vm="15">
        <v>#VALUE!</v>
      </c>
      <c r="I227" t="e" cm="1" vm="16">
        <f t="array" ref="I227">_FV(H227,"Country/region",TRUE)</f>
        <v>#VALUE!</v>
      </c>
      <c r="J227" t="s">
        <v>18</v>
      </c>
      <c r="K227" t="s">
        <v>37</v>
      </c>
      <c r="L227" t="s">
        <v>35</v>
      </c>
      <c r="M227">
        <f>Table1[[#This Row],[Price]]*Table1[[#This Row],[Quantity]]</f>
        <v>1002.99</v>
      </c>
    </row>
    <row r="228" spans="2:13" x14ac:dyDescent="0.3">
      <c r="B228" s="3">
        <v>10685</v>
      </c>
      <c r="C228" s="4">
        <v>44919</v>
      </c>
      <c r="D228" t="s">
        <v>21</v>
      </c>
      <c r="E228" s="3">
        <v>12.99</v>
      </c>
      <c r="F228" s="20">
        <v>678</v>
      </c>
      <c r="G228" s="3">
        <v>4.32</v>
      </c>
      <c r="H228" s="6" t="e" vm="15">
        <v>#VALUE!</v>
      </c>
      <c r="I228" t="e" cm="1" vm="16">
        <f t="array" ref="I228">_FV(H228,"Country/region",TRUE)</f>
        <v>#VALUE!</v>
      </c>
      <c r="J228" t="s">
        <v>18</v>
      </c>
      <c r="K228" t="s">
        <v>37</v>
      </c>
      <c r="L228" t="s">
        <v>35</v>
      </c>
      <c r="M228">
        <f>Table1[[#This Row],[Price]]*Table1[[#This Row],[Quantity]]</f>
        <v>8807.2199999999993</v>
      </c>
    </row>
    <row r="229" spans="2:13" x14ac:dyDescent="0.3">
      <c r="B229" s="3">
        <v>10686</v>
      </c>
      <c r="C229" s="4">
        <v>44919</v>
      </c>
      <c r="D229" t="s">
        <v>25</v>
      </c>
      <c r="E229" s="3">
        <v>9.9499999999999993</v>
      </c>
      <c r="F229" s="20">
        <v>242</v>
      </c>
      <c r="G229" s="3">
        <v>2.85</v>
      </c>
      <c r="H229" s="6" t="e" vm="15">
        <v>#VALUE!</v>
      </c>
      <c r="I229" t="e" cm="1" vm="16">
        <f t="array" ref="I229">_FV(H229,"Country/region",TRUE)</f>
        <v>#VALUE!</v>
      </c>
      <c r="J229" t="s">
        <v>18</v>
      </c>
      <c r="K229" t="s">
        <v>37</v>
      </c>
      <c r="L229" t="s">
        <v>35</v>
      </c>
      <c r="M229">
        <f>Table1[[#This Row],[Price]]*Table1[[#This Row],[Quantity]]</f>
        <v>2407.8999999999996</v>
      </c>
    </row>
    <row r="230" spans="2:13" x14ac:dyDescent="0.3">
      <c r="B230" s="3">
        <v>10687</v>
      </c>
      <c r="C230" s="4">
        <v>44919</v>
      </c>
      <c r="D230" t="s">
        <v>9</v>
      </c>
      <c r="E230" s="3">
        <v>3.49</v>
      </c>
      <c r="F230" s="20">
        <v>631</v>
      </c>
      <c r="G230" s="3">
        <v>0.88</v>
      </c>
      <c r="H230" t="e" vm="17">
        <v>#VALUE!</v>
      </c>
      <c r="I230" t="e" cm="1" vm="18">
        <f t="array" ref="I230">_FV(H230,"Country/region",TRUE)</f>
        <v>#VALUE!</v>
      </c>
      <c r="J230" t="s">
        <v>18</v>
      </c>
      <c r="K230" t="s">
        <v>37</v>
      </c>
      <c r="L230" t="s">
        <v>23</v>
      </c>
      <c r="M230">
        <f>Table1[[#This Row],[Price]]*Table1[[#This Row],[Quantity]]</f>
        <v>2202.19</v>
      </c>
    </row>
    <row r="231" spans="2:13" x14ac:dyDescent="0.3">
      <c r="B231" s="3">
        <v>10688</v>
      </c>
      <c r="C231" s="4">
        <v>44919</v>
      </c>
      <c r="D231" t="s">
        <v>14</v>
      </c>
      <c r="E231" s="3">
        <v>2.95</v>
      </c>
      <c r="F231" s="20">
        <v>678</v>
      </c>
      <c r="G231" s="3">
        <v>0.47</v>
      </c>
      <c r="H231" t="e" vm="17">
        <v>#VALUE!</v>
      </c>
      <c r="I231" t="e" cm="1" vm="18">
        <f t="array" ref="I231">_FV(H231,"Country/region",TRUE)</f>
        <v>#VALUE!</v>
      </c>
      <c r="J231" t="s">
        <v>18</v>
      </c>
      <c r="K231" t="s">
        <v>37</v>
      </c>
      <c r="L231" t="s">
        <v>23</v>
      </c>
      <c r="M231">
        <f>Table1[[#This Row],[Price]]*Table1[[#This Row],[Quantity]]</f>
        <v>2000.1000000000001</v>
      </c>
    </row>
    <row r="232" spans="2:13" x14ac:dyDescent="0.3">
      <c r="B232" s="3">
        <v>10689</v>
      </c>
      <c r="C232" s="4">
        <v>44919</v>
      </c>
      <c r="D232" t="s">
        <v>17</v>
      </c>
      <c r="E232" s="3">
        <v>4.99</v>
      </c>
      <c r="F232" s="20">
        <v>201</v>
      </c>
      <c r="G232" s="3">
        <v>2.25</v>
      </c>
      <c r="H232" t="e" vm="17">
        <v>#VALUE!</v>
      </c>
      <c r="I232" t="e" cm="1" vm="18">
        <f t="array" ref="I232">_FV(H232,"Country/region",TRUE)</f>
        <v>#VALUE!</v>
      </c>
      <c r="J232" t="s">
        <v>18</v>
      </c>
      <c r="K232" t="s">
        <v>37</v>
      </c>
      <c r="L232" t="s">
        <v>23</v>
      </c>
      <c r="M232">
        <f>Table1[[#This Row],[Price]]*Table1[[#This Row],[Quantity]]</f>
        <v>1002.99</v>
      </c>
    </row>
    <row r="233" spans="2:13" x14ac:dyDescent="0.3">
      <c r="B233" s="3">
        <v>10690</v>
      </c>
      <c r="C233" s="4">
        <v>44920</v>
      </c>
      <c r="D233" t="s">
        <v>21</v>
      </c>
      <c r="E233" s="3">
        <v>12.99</v>
      </c>
      <c r="F233" s="20">
        <v>678</v>
      </c>
      <c r="G233" s="3">
        <v>4.32</v>
      </c>
      <c r="H233" t="e" vm="17">
        <v>#VALUE!</v>
      </c>
      <c r="I233" t="e" cm="1" vm="18">
        <f t="array" ref="I233">_FV(H233,"Country/region",TRUE)</f>
        <v>#VALUE!</v>
      </c>
      <c r="J233" t="s">
        <v>18</v>
      </c>
      <c r="K233" t="s">
        <v>37</v>
      </c>
      <c r="L233" t="s">
        <v>23</v>
      </c>
      <c r="M233">
        <f>Table1[[#This Row],[Price]]*Table1[[#This Row],[Quantity]]</f>
        <v>8807.2199999999993</v>
      </c>
    </row>
    <row r="234" spans="2:13" x14ac:dyDescent="0.3">
      <c r="B234" s="3">
        <v>10691</v>
      </c>
      <c r="C234" s="4">
        <v>44920</v>
      </c>
      <c r="D234" t="s">
        <v>25</v>
      </c>
      <c r="E234" s="3">
        <v>9.9499999999999993</v>
      </c>
      <c r="F234" s="20">
        <v>262</v>
      </c>
      <c r="G234" s="3">
        <v>2.85</v>
      </c>
      <c r="H234" t="e" vm="17">
        <v>#VALUE!</v>
      </c>
      <c r="I234" t="e" cm="1" vm="18">
        <f t="array" ref="I234">_FV(H234,"Country/region",TRUE)</f>
        <v>#VALUE!</v>
      </c>
      <c r="J234" t="s">
        <v>18</v>
      </c>
      <c r="K234" t="s">
        <v>37</v>
      </c>
      <c r="L234" t="s">
        <v>23</v>
      </c>
      <c r="M234">
        <f>Table1[[#This Row],[Price]]*Table1[[#This Row],[Quantity]]</f>
        <v>2606.8999999999996</v>
      </c>
    </row>
    <row r="235" spans="2:13" x14ac:dyDescent="0.3">
      <c r="B235" s="3">
        <v>10692</v>
      </c>
      <c r="C235" s="4">
        <v>44920</v>
      </c>
      <c r="D235" t="s">
        <v>9</v>
      </c>
      <c r="E235" s="3">
        <v>3.49</v>
      </c>
      <c r="F235" s="20">
        <v>631</v>
      </c>
      <c r="G235" s="3">
        <v>0.88</v>
      </c>
      <c r="H235" t="e" vm="17">
        <v>#VALUE!</v>
      </c>
      <c r="I235" t="e" cm="1" vm="18">
        <f t="array" ref="I235">_FV(H235,"Country/region",TRUE)</f>
        <v>#VALUE!</v>
      </c>
      <c r="J235" t="s">
        <v>18</v>
      </c>
      <c r="K235" t="s">
        <v>37</v>
      </c>
      <c r="L235" t="s">
        <v>23</v>
      </c>
      <c r="M235">
        <f>Table1[[#This Row],[Price]]*Table1[[#This Row],[Quantity]]</f>
        <v>2202.19</v>
      </c>
    </row>
    <row r="236" spans="2:13" x14ac:dyDescent="0.3">
      <c r="B236" s="3">
        <v>10693</v>
      </c>
      <c r="C236" s="4">
        <v>44920</v>
      </c>
      <c r="D236" t="s">
        <v>14</v>
      </c>
      <c r="E236" s="3">
        <v>2.95</v>
      </c>
      <c r="F236" s="20">
        <v>678</v>
      </c>
      <c r="G236" s="3">
        <v>0.47</v>
      </c>
      <c r="H236" t="e" vm="17">
        <v>#VALUE!</v>
      </c>
      <c r="I236" t="e" cm="1" vm="18">
        <f t="array" ref="I236">_FV(H236,"Country/region",TRUE)</f>
        <v>#VALUE!</v>
      </c>
      <c r="J236" t="s">
        <v>18</v>
      </c>
      <c r="K236" t="s">
        <v>37</v>
      </c>
      <c r="L236" t="s">
        <v>23</v>
      </c>
      <c r="M236">
        <f>Table1[[#This Row],[Price]]*Table1[[#This Row],[Quantity]]</f>
        <v>2000.1000000000001</v>
      </c>
    </row>
    <row r="237" spans="2:13" x14ac:dyDescent="0.3">
      <c r="B237" s="3">
        <v>10694</v>
      </c>
      <c r="C237" s="4">
        <v>44920</v>
      </c>
      <c r="D237" t="s">
        <v>17</v>
      </c>
      <c r="E237" s="3">
        <v>4.99</v>
      </c>
      <c r="F237" s="20">
        <v>201</v>
      </c>
      <c r="G237" s="3">
        <v>2.25</v>
      </c>
      <c r="H237" t="e" vm="17">
        <v>#VALUE!</v>
      </c>
      <c r="I237" t="e" cm="1" vm="18">
        <f t="array" ref="I237">_FV(H237,"Country/region",TRUE)</f>
        <v>#VALUE!</v>
      </c>
      <c r="J237" t="s">
        <v>18</v>
      </c>
      <c r="K237" t="s">
        <v>37</v>
      </c>
      <c r="L237" t="s">
        <v>23</v>
      </c>
      <c r="M237">
        <f>Table1[[#This Row],[Price]]*Table1[[#This Row],[Quantity]]</f>
        <v>1002.99</v>
      </c>
    </row>
    <row r="238" spans="2:13" x14ac:dyDescent="0.3">
      <c r="B238" s="3">
        <v>10695</v>
      </c>
      <c r="C238" s="4">
        <v>44921</v>
      </c>
      <c r="D238" t="s">
        <v>21</v>
      </c>
      <c r="E238" s="3">
        <v>12.99</v>
      </c>
      <c r="F238" s="20">
        <v>693</v>
      </c>
      <c r="G238" s="3">
        <v>4.32</v>
      </c>
      <c r="H238" t="e" vm="17">
        <v>#VALUE!</v>
      </c>
      <c r="I238" t="e" cm="1" vm="18">
        <f t="array" ref="I238">_FV(H238,"Country/region",TRUE)</f>
        <v>#VALUE!</v>
      </c>
      <c r="J238" t="s">
        <v>18</v>
      </c>
      <c r="K238" t="s">
        <v>37</v>
      </c>
      <c r="L238" t="s">
        <v>23</v>
      </c>
      <c r="M238">
        <f>Table1[[#This Row],[Price]]*Table1[[#This Row],[Quantity]]</f>
        <v>9002.07</v>
      </c>
    </row>
    <row r="239" spans="2:13" x14ac:dyDescent="0.3">
      <c r="B239" s="3">
        <v>10696</v>
      </c>
      <c r="C239" s="4">
        <v>44921</v>
      </c>
      <c r="D239" t="s">
        <v>25</v>
      </c>
      <c r="E239" s="3">
        <v>9.9499999999999993</v>
      </c>
      <c r="F239" s="20">
        <v>282</v>
      </c>
      <c r="G239" s="3">
        <v>2.85</v>
      </c>
      <c r="H239" t="e" vm="17">
        <v>#VALUE!</v>
      </c>
      <c r="I239" t="e" cm="1" vm="18">
        <f t="array" ref="I239">_FV(H239,"Country/region",TRUE)</f>
        <v>#VALUE!</v>
      </c>
      <c r="J239" t="s">
        <v>18</v>
      </c>
      <c r="K239" t="s">
        <v>37</v>
      </c>
      <c r="L239" t="s">
        <v>23</v>
      </c>
      <c r="M239">
        <f>Table1[[#This Row],[Price]]*Table1[[#This Row],[Quantity]]</f>
        <v>2805.8999999999996</v>
      </c>
    </row>
    <row r="240" spans="2:13" x14ac:dyDescent="0.3">
      <c r="B240" s="3">
        <v>10697</v>
      </c>
      <c r="C240" s="4">
        <v>44921</v>
      </c>
      <c r="D240" t="s">
        <v>9</v>
      </c>
      <c r="E240" s="3">
        <v>3.49</v>
      </c>
      <c r="F240" s="20">
        <v>631</v>
      </c>
      <c r="G240" s="3">
        <v>0.88</v>
      </c>
      <c r="H240" t="e" vm="17">
        <v>#VALUE!</v>
      </c>
      <c r="I240" t="e" cm="1" vm="18">
        <f t="array" ref="I240">_FV(H240,"Country/region",TRUE)</f>
        <v>#VALUE!</v>
      </c>
      <c r="J240" t="s">
        <v>18</v>
      </c>
      <c r="K240" t="s">
        <v>37</v>
      </c>
      <c r="L240" t="s">
        <v>23</v>
      </c>
      <c r="M240">
        <f>Table1[[#This Row],[Price]]*Table1[[#This Row],[Quantity]]</f>
        <v>2202.19</v>
      </c>
    </row>
    <row r="241" spans="2:13" x14ac:dyDescent="0.3">
      <c r="B241" s="3">
        <v>10698</v>
      </c>
      <c r="C241" s="4">
        <v>44921</v>
      </c>
      <c r="D241" t="s">
        <v>14</v>
      </c>
      <c r="E241" s="3">
        <v>2.95</v>
      </c>
      <c r="F241" s="20">
        <v>678</v>
      </c>
      <c r="G241" s="3">
        <v>0.47</v>
      </c>
      <c r="H241" t="e" vm="17">
        <v>#VALUE!</v>
      </c>
      <c r="I241" t="e" cm="1" vm="18">
        <f t="array" ref="I241">_FV(H241,"Country/region",TRUE)</f>
        <v>#VALUE!</v>
      </c>
      <c r="J241" t="s">
        <v>18</v>
      </c>
      <c r="K241" t="s">
        <v>37</v>
      </c>
      <c r="L241" t="s">
        <v>23</v>
      </c>
      <c r="M241">
        <f>Table1[[#This Row],[Price]]*Table1[[#This Row],[Quantity]]</f>
        <v>2000.1000000000001</v>
      </c>
    </row>
    <row r="242" spans="2:13" x14ac:dyDescent="0.3">
      <c r="B242" s="3">
        <v>10699</v>
      </c>
      <c r="C242" s="4">
        <v>44921</v>
      </c>
      <c r="D242" t="s">
        <v>17</v>
      </c>
      <c r="E242" s="3">
        <v>4.99</v>
      </c>
      <c r="F242" s="20">
        <v>201</v>
      </c>
      <c r="G242" s="3">
        <v>2.25</v>
      </c>
      <c r="H242" t="e" vm="17">
        <v>#VALUE!</v>
      </c>
      <c r="I242" t="e" cm="1" vm="18">
        <f t="array" ref="I242">_FV(H242,"Country/region",TRUE)</f>
        <v>#VALUE!</v>
      </c>
      <c r="J242" t="s">
        <v>18</v>
      </c>
      <c r="K242" t="s">
        <v>37</v>
      </c>
      <c r="L242" t="s">
        <v>23</v>
      </c>
      <c r="M242">
        <f>Table1[[#This Row],[Price]]*Table1[[#This Row],[Quantity]]</f>
        <v>1002.99</v>
      </c>
    </row>
    <row r="243" spans="2:13" x14ac:dyDescent="0.3">
      <c r="B243" s="3">
        <v>10700</v>
      </c>
      <c r="C243" s="4">
        <v>44922</v>
      </c>
      <c r="D243" t="s">
        <v>21</v>
      </c>
      <c r="E243" s="3">
        <v>12.99</v>
      </c>
      <c r="F243" s="20">
        <v>693</v>
      </c>
      <c r="G243" s="3">
        <v>4.32</v>
      </c>
      <c r="H243" t="e" vm="17">
        <v>#VALUE!</v>
      </c>
      <c r="I243" t="e" cm="1" vm="18">
        <f t="array" ref="I243">_FV(H243,"Country/region",TRUE)</f>
        <v>#VALUE!</v>
      </c>
      <c r="J243" t="s">
        <v>18</v>
      </c>
      <c r="K243" t="s">
        <v>37</v>
      </c>
      <c r="L243" t="s">
        <v>23</v>
      </c>
      <c r="M243">
        <f>Table1[[#This Row],[Price]]*Table1[[#This Row],[Quantity]]</f>
        <v>9002.07</v>
      </c>
    </row>
    <row r="244" spans="2:13" x14ac:dyDescent="0.3">
      <c r="B244" s="3">
        <v>10701</v>
      </c>
      <c r="C244" s="4">
        <v>44922</v>
      </c>
      <c r="D244" t="s">
        <v>25</v>
      </c>
      <c r="E244" s="3">
        <v>9.9499999999999993</v>
      </c>
      <c r="F244" s="20">
        <v>282</v>
      </c>
      <c r="G244" s="3">
        <v>2.85</v>
      </c>
      <c r="H244" t="e" vm="17">
        <v>#VALUE!</v>
      </c>
      <c r="I244" t="e" cm="1" vm="18">
        <f t="array" ref="I244">_FV(H244,"Country/region",TRUE)</f>
        <v>#VALUE!</v>
      </c>
      <c r="J244" t="s">
        <v>18</v>
      </c>
      <c r="K244" t="s">
        <v>37</v>
      </c>
      <c r="L244" t="s">
        <v>23</v>
      </c>
      <c r="M244">
        <f>Table1[[#This Row],[Price]]*Table1[[#This Row],[Quantity]]</f>
        <v>2805.8999999999996</v>
      </c>
    </row>
    <row r="245" spans="2:13" x14ac:dyDescent="0.3">
      <c r="B245" s="3">
        <v>10702</v>
      </c>
      <c r="C245" s="4">
        <v>44922</v>
      </c>
      <c r="D245" t="s">
        <v>9</v>
      </c>
      <c r="E245" s="3">
        <v>3.49</v>
      </c>
      <c r="F245" s="20">
        <v>631</v>
      </c>
      <c r="G245" s="3">
        <v>0.88</v>
      </c>
      <c r="H245" t="e" vm="17">
        <v>#VALUE!</v>
      </c>
      <c r="I245" t="e" cm="1" vm="18">
        <f t="array" ref="I245">_FV(H245,"Country/region",TRUE)</f>
        <v>#VALUE!</v>
      </c>
      <c r="J245" t="s">
        <v>18</v>
      </c>
      <c r="K245" t="s">
        <v>37</v>
      </c>
      <c r="L245" t="s">
        <v>23</v>
      </c>
      <c r="M245">
        <f>Table1[[#This Row],[Price]]*Table1[[#This Row],[Quantity]]</f>
        <v>2202.19</v>
      </c>
    </row>
    <row r="246" spans="2:13" x14ac:dyDescent="0.3">
      <c r="B246" s="3">
        <v>10703</v>
      </c>
      <c r="C246" s="4">
        <v>44922</v>
      </c>
      <c r="D246" t="s">
        <v>14</v>
      </c>
      <c r="E246" s="3">
        <v>2.95</v>
      </c>
      <c r="F246" s="20">
        <v>678</v>
      </c>
      <c r="G246" s="3">
        <v>0.47</v>
      </c>
      <c r="H246" t="e" vm="17">
        <v>#VALUE!</v>
      </c>
      <c r="I246" t="e" cm="1" vm="18">
        <f t="array" ref="I246">_FV(H246,"Country/region",TRUE)</f>
        <v>#VALUE!</v>
      </c>
      <c r="J246" t="s">
        <v>18</v>
      </c>
      <c r="K246" t="s">
        <v>11</v>
      </c>
      <c r="L246" t="s">
        <v>23</v>
      </c>
      <c r="M246">
        <f>Table1[[#This Row],[Price]]*Table1[[#This Row],[Quantity]]</f>
        <v>2000.1000000000001</v>
      </c>
    </row>
    <row r="247" spans="2:13" x14ac:dyDescent="0.3">
      <c r="B247" s="3">
        <v>10704</v>
      </c>
      <c r="C247" s="4">
        <v>44922</v>
      </c>
      <c r="D247" t="s">
        <v>17</v>
      </c>
      <c r="E247" s="3">
        <v>4.99</v>
      </c>
      <c r="F247" s="20">
        <v>201</v>
      </c>
      <c r="G247" s="3">
        <v>2.25</v>
      </c>
      <c r="H247" t="e" vm="17">
        <v>#VALUE!</v>
      </c>
      <c r="I247" t="e" cm="1" vm="18">
        <f t="array" ref="I247">_FV(H247,"Country/region",TRUE)</f>
        <v>#VALUE!</v>
      </c>
      <c r="J247" t="s">
        <v>36</v>
      </c>
      <c r="K247" t="s">
        <v>11</v>
      </c>
      <c r="L247" t="s">
        <v>23</v>
      </c>
      <c r="M247">
        <f>Table1[[#This Row],[Price]]*Table1[[#This Row],[Quantity]]</f>
        <v>1002.99</v>
      </c>
    </row>
    <row r="248" spans="2:13" x14ac:dyDescent="0.3">
      <c r="B248" s="3">
        <v>10705</v>
      </c>
      <c r="C248" s="4">
        <v>44923</v>
      </c>
      <c r="D248" t="s">
        <v>21</v>
      </c>
      <c r="E248" s="3">
        <v>12.99</v>
      </c>
      <c r="F248" s="20">
        <v>724</v>
      </c>
      <c r="G248" s="3">
        <v>4.32</v>
      </c>
      <c r="H248" t="e" vm="17">
        <v>#VALUE!</v>
      </c>
      <c r="I248" t="e" cm="1" vm="18">
        <f t="array" ref="I248">_FV(H248,"Country/region",TRUE)</f>
        <v>#VALUE!</v>
      </c>
      <c r="J248" t="s">
        <v>36</v>
      </c>
      <c r="K248" t="s">
        <v>11</v>
      </c>
      <c r="L248" t="s">
        <v>23</v>
      </c>
      <c r="M248">
        <f>Table1[[#This Row],[Price]]*Table1[[#This Row],[Quantity]]</f>
        <v>9404.76</v>
      </c>
    </row>
    <row r="249" spans="2:13" x14ac:dyDescent="0.3">
      <c r="B249" s="3">
        <v>10706</v>
      </c>
      <c r="C249" s="4">
        <v>44923</v>
      </c>
      <c r="D249" t="s">
        <v>25</v>
      </c>
      <c r="E249" s="3">
        <v>9.9499999999999993</v>
      </c>
      <c r="F249" s="20">
        <v>302</v>
      </c>
      <c r="G249" s="3">
        <v>2.85</v>
      </c>
      <c r="H249" t="e" vm="17">
        <v>#VALUE!</v>
      </c>
      <c r="I249" t="e" cm="1" vm="18">
        <f t="array" ref="I249">_FV(H249,"Country/region",TRUE)</f>
        <v>#VALUE!</v>
      </c>
      <c r="J249" t="s">
        <v>36</v>
      </c>
      <c r="K249" t="s">
        <v>11</v>
      </c>
      <c r="L249" t="s">
        <v>23</v>
      </c>
      <c r="M249">
        <f>Table1[[#This Row],[Price]]*Table1[[#This Row],[Quantity]]</f>
        <v>3004.8999999999996</v>
      </c>
    </row>
    <row r="250" spans="2:13" x14ac:dyDescent="0.3">
      <c r="B250" s="3">
        <v>10707</v>
      </c>
      <c r="C250" s="4">
        <v>44923</v>
      </c>
      <c r="D250" t="s">
        <v>9</v>
      </c>
      <c r="E250" s="3">
        <v>3.49</v>
      </c>
      <c r="F250" s="20">
        <v>631</v>
      </c>
      <c r="G250" s="3">
        <v>0.88</v>
      </c>
      <c r="H250" t="e" vm="17">
        <v>#VALUE!</v>
      </c>
      <c r="I250" t="e" cm="1" vm="18">
        <f t="array" ref="I250">_FV(H250,"Country/region",TRUE)</f>
        <v>#VALUE!</v>
      </c>
      <c r="J250" t="s">
        <v>36</v>
      </c>
      <c r="K250" t="s">
        <v>11</v>
      </c>
      <c r="L250" t="s">
        <v>23</v>
      </c>
      <c r="M250">
        <f>Table1[[#This Row],[Price]]*Table1[[#This Row],[Quantity]]</f>
        <v>2202.19</v>
      </c>
    </row>
    <row r="251" spans="2:13" x14ac:dyDescent="0.3">
      <c r="B251" s="3">
        <v>10708</v>
      </c>
      <c r="C251" s="4">
        <v>44923</v>
      </c>
      <c r="D251" t="s">
        <v>14</v>
      </c>
      <c r="E251" s="3">
        <v>2.95</v>
      </c>
      <c r="F251" s="20">
        <v>678</v>
      </c>
      <c r="G251" s="3">
        <v>0.47</v>
      </c>
      <c r="H251" t="e" vm="17">
        <v>#VALUE!</v>
      </c>
      <c r="I251" t="e" cm="1" vm="18">
        <f t="array" ref="I251">_FV(H251,"Country/region",TRUE)</f>
        <v>#VALUE!</v>
      </c>
      <c r="J251" t="s">
        <v>36</v>
      </c>
      <c r="K251" t="s">
        <v>11</v>
      </c>
      <c r="L251" t="s">
        <v>23</v>
      </c>
      <c r="M251">
        <f>Table1[[#This Row],[Price]]*Table1[[#This Row],[Quantity]]</f>
        <v>2000.1000000000001</v>
      </c>
    </row>
    <row r="252" spans="2:13" x14ac:dyDescent="0.3">
      <c r="B252" s="3">
        <v>10709</v>
      </c>
      <c r="C252" s="4">
        <v>44923</v>
      </c>
      <c r="D252" t="s">
        <v>17</v>
      </c>
      <c r="E252" s="3">
        <v>4.99</v>
      </c>
      <c r="F252" s="20">
        <v>201</v>
      </c>
      <c r="G252" s="3">
        <v>2.25</v>
      </c>
      <c r="H252" t="e" vm="17">
        <v>#VALUE!</v>
      </c>
      <c r="I252" t="e" cm="1" vm="18">
        <f t="array" ref="I252">_FV(H252,"Country/region",TRUE)</f>
        <v>#VALUE!</v>
      </c>
      <c r="J252" t="s">
        <v>36</v>
      </c>
      <c r="K252" t="s">
        <v>11</v>
      </c>
      <c r="L252" t="s">
        <v>23</v>
      </c>
      <c r="M252">
        <f>Table1[[#This Row],[Price]]*Table1[[#This Row],[Quantity]]</f>
        <v>1002.99</v>
      </c>
    </row>
    <row r="253" spans="2:13" x14ac:dyDescent="0.3">
      <c r="B253" s="3">
        <v>10710</v>
      </c>
      <c r="C253" s="4">
        <v>44924</v>
      </c>
      <c r="D253" t="s">
        <v>21</v>
      </c>
      <c r="E253" s="3">
        <v>12.99</v>
      </c>
      <c r="F253" s="20">
        <v>755</v>
      </c>
      <c r="G253" s="3">
        <v>4.32</v>
      </c>
      <c r="H253" t="e" vm="17">
        <v>#VALUE!</v>
      </c>
      <c r="I253" t="e" cm="1" vm="18">
        <f t="array" ref="I253">_FV(H253,"Country/region",TRUE)</f>
        <v>#VALUE!</v>
      </c>
      <c r="J253" t="s">
        <v>36</v>
      </c>
      <c r="K253" t="s">
        <v>11</v>
      </c>
      <c r="L253" t="s">
        <v>23</v>
      </c>
      <c r="M253">
        <f>Table1[[#This Row],[Price]]*Table1[[#This Row],[Quantity]]</f>
        <v>9807.4500000000007</v>
      </c>
    </row>
    <row r="254" spans="2:13" x14ac:dyDescent="0.3">
      <c r="B254" s="3">
        <v>10711</v>
      </c>
      <c r="C254" s="4">
        <v>44924</v>
      </c>
      <c r="D254" t="s">
        <v>25</v>
      </c>
      <c r="E254" s="3">
        <v>9.9499999999999993</v>
      </c>
      <c r="F254" s="20">
        <v>282</v>
      </c>
      <c r="G254" s="3">
        <v>2.85</v>
      </c>
      <c r="H254" t="e" vm="17">
        <v>#VALUE!</v>
      </c>
      <c r="I254" t="e" cm="1" vm="18">
        <f t="array" ref="I254">_FV(H254,"Country/region",TRUE)</f>
        <v>#VALUE!</v>
      </c>
      <c r="J254" t="s">
        <v>36</v>
      </c>
      <c r="K254" t="s">
        <v>11</v>
      </c>
      <c r="L254" t="s">
        <v>23</v>
      </c>
      <c r="M254">
        <f>Table1[[#This Row],[Price]]*Table1[[#This Row],[Quantity]]</f>
        <v>2805.8999999999996</v>
      </c>
    </row>
    <row r="255" spans="2:13" x14ac:dyDescent="0.3">
      <c r="B255" s="3">
        <v>10712</v>
      </c>
      <c r="C255" s="4">
        <v>44924</v>
      </c>
      <c r="D255" t="s">
        <v>9</v>
      </c>
      <c r="E255" s="3">
        <v>3.49</v>
      </c>
      <c r="F255" s="20">
        <v>631</v>
      </c>
      <c r="G255" s="3">
        <v>0.88</v>
      </c>
      <c r="H255" t="e" vm="17">
        <v>#VALUE!</v>
      </c>
      <c r="I255" t="e" cm="1" vm="18">
        <f t="array" ref="I255">_FV(H255,"Country/region",TRUE)</f>
        <v>#VALUE!</v>
      </c>
      <c r="J255" t="s">
        <v>36</v>
      </c>
      <c r="K255" t="s">
        <v>11</v>
      </c>
      <c r="L255" t="s">
        <v>23</v>
      </c>
      <c r="M255">
        <f>Table1[[#This Row],[Price]]*Table1[[#This Row],[Quantity]]</f>
        <v>2202.19</v>
      </c>
    </row>
    <row r="256" spans="2:13" x14ac:dyDescent="0.3">
      <c r="B256" s="3">
        <v>10713</v>
      </c>
      <c r="C256" s="4">
        <v>44924</v>
      </c>
      <c r="D256" t="s">
        <v>14</v>
      </c>
      <c r="E256" s="3">
        <v>2.95</v>
      </c>
      <c r="F256" s="20">
        <v>678</v>
      </c>
      <c r="G256" s="3">
        <v>0.47</v>
      </c>
      <c r="H256" t="e" vm="17">
        <v>#VALUE!</v>
      </c>
      <c r="I256" t="e" cm="1" vm="18">
        <f t="array" ref="I256">_FV(H256,"Country/region",TRUE)</f>
        <v>#VALUE!</v>
      </c>
      <c r="J256" t="s">
        <v>36</v>
      </c>
      <c r="K256" t="s">
        <v>11</v>
      </c>
      <c r="L256" t="s">
        <v>23</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L9"/>
  <sheetViews>
    <sheetView showGridLines="0" workbookViewId="0">
      <selection activeCell="C21" sqref="C21"/>
    </sheetView>
  </sheetViews>
  <sheetFormatPr defaultColWidth="10.69921875" defaultRowHeight="15.6" x14ac:dyDescent="0.3"/>
  <cols>
    <col min="1" max="1" width="4.19921875" customWidth="1"/>
    <col min="8" max="8" width="17.796875" bestFit="1" customWidth="1"/>
    <col min="9" max="9" width="15.69921875" bestFit="1" customWidth="1"/>
    <col min="11" max="11" width="12.296875" bestFit="1" customWidth="1"/>
    <col min="12" max="12" width="14.5" bestFit="1" customWidth="1"/>
  </cols>
  <sheetData>
    <row r="2" spans="2:12" x14ac:dyDescent="0.3">
      <c r="B2" s="7" t="s">
        <v>39</v>
      </c>
      <c r="C2" s="7"/>
      <c r="D2" s="7"/>
      <c r="E2" s="7"/>
      <c r="F2" s="7"/>
      <c r="H2" s="25" t="s">
        <v>64</v>
      </c>
      <c r="I2" t="s">
        <v>66</v>
      </c>
      <c r="K2" t="s">
        <v>67</v>
      </c>
    </row>
    <row r="3" spans="2:12" x14ac:dyDescent="0.3">
      <c r="H3" s="15" t="s">
        <v>14</v>
      </c>
      <c r="I3" s="26">
        <v>35666</v>
      </c>
      <c r="K3" s="26">
        <v>812135.12999999872</v>
      </c>
    </row>
    <row r="4" spans="2:12" x14ac:dyDescent="0.3">
      <c r="B4" s="8" t="s">
        <v>40</v>
      </c>
      <c r="C4" s="9"/>
      <c r="D4" s="9"/>
      <c r="E4" s="9"/>
      <c r="F4" s="9"/>
      <c r="H4" s="15" t="s">
        <v>9</v>
      </c>
      <c r="I4" s="26">
        <v>32067</v>
      </c>
    </row>
    <row r="5" spans="2:12" x14ac:dyDescent="0.3">
      <c r="B5" s="10" t="s">
        <v>14</v>
      </c>
      <c r="C5" s="11"/>
      <c r="D5" s="11"/>
      <c r="E5" s="11"/>
      <c r="F5" s="11"/>
      <c r="H5" s="15" t="s">
        <v>21</v>
      </c>
      <c r="I5" s="26">
        <v>29572</v>
      </c>
      <c r="K5" s="25" t="s">
        <v>64</v>
      </c>
      <c r="L5" t="s">
        <v>67</v>
      </c>
    </row>
    <row r="6" spans="2:12" x14ac:dyDescent="0.3">
      <c r="B6" s="8" t="s">
        <v>41</v>
      </c>
      <c r="C6" s="9"/>
      <c r="D6" s="9"/>
      <c r="E6" s="9"/>
      <c r="F6" s="9"/>
      <c r="H6" s="15" t="s">
        <v>25</v>
      </c>
      <c r="I6" s="26">
        <v>11184</v>
      </c>
      <c r="K6" s="15" t="s">
        <v>37</v>
      </c>
      <c r="L6" s="27">
        <v>0.29489445925088847</v>
      </c>
    </row>
    <row r="7" spans="2:12" x14ac:dyDescent="0.3">
      <c r="B7" s="26">
        <v>812135.12999999872</v>
      </c>
      <c r="C7" s="11"/>
      <c r="D7" s="11"/>
      <c r="E7" s="11"/>
      <c r="F7" s="11"/>
      <c r="H7" s="15" t="s">
        <v>17</v>
      </c>
      <c r="I7" s="26">
        <v>10050</v>
      </c>
      <c r="K7" s="15" t="s">
        <v>22</v>
      </c>
      <c r="L7" s="27">
        <v>0.49722371940738486</v>
      </c>
    </row>
    <row r="8" spans="2:12" x14ac:dyDescent="0.3">
      <c r="B8" s="8" t="s">
        <v>42</v>
      </c>
      <c r="C8" s="9"/>
      <c r="D8" s="9"/>
      <c r="E8" s="9"/>
      <c r="F8" s="9"/>
      <c r="H8" s="15" t="s">
        <v>65</v>
      </c>
      <c r="I8" s="26">
        <v>118539</v>
      </c>
      <c r="K8" s="15" t="s">
        <v>11</v>
      </c>
      <c r="L8" s="27">
        <v>0.20788182134172675</v>
      </c>
    </row>
    <row r="9" spans="2:12" x14ac:dyDescent="0.3">
      <c r="B9" s="8" t="s">
        <v>68</v>
      </c>
      <c r="K9" s="15" t="s">
        <v>65</v>
      </c>
      <c r="L9" s="2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tabSelected="1" workbookViewId="0">
      <selection activeCell="D17" sqref="D17"/>
    </sheetView>
  </sheetViews>
  <sheetFormatPr defaultColWidth="10.69921875" defaultRowHeight="15.6" x14ac:dyDescent="0.3"/>
  <cols>
    <col min="2" max="2" width="17.5" customWidth="1"/>
    <col min="3" max="3" width="11.296875" customWidth="1"/>
  </cols>
  <sheetData>
    <row r="2" spans="2:10" x14ac:dyDescent="0.3">
      <c r="B2" s="12" t="s">
        <v>43</v>
      </c>
      <c r="C2" s="13" t="s">
        <v>31</v>
      </c>
      <c r="J2" s="19" t="s">
        <v>38</v>
      </c>
    </row>
    <row r="3" spans="2:10" x14ac:dyDescent="0.3">
      <c r="J3" s="19" t="s">
        <v>31</v>
      </c>
    </row>
    <row r="4" spans="2:10" x14ac:dyDescent="0.3">
      <c r="B4" s="21" t="s">
        <v>44</v>
      </c>
      <c r="C4" s="21"/>
      <c r="J4" s="19" t="s">
        <v>35</v>
      </c>
    </row>
    <row r="5" spans="2:10" x14ac:dyDescent="0.3">
      <c r="B5" t="s">
        <v>45</v>
      </c>
      <c r="C5" t="e" vm="14">
        <f>_xlfn.XLOOKUP(C2,Table1[Manager],Table1[Country])</f>
        <v>#VALUE!</v>
      </c>
      <c r="J5" s="19" t="s">
        <v>23</v>
      </c>
    </row>
    <row r="6" spans="2:10" x14ac:dyDescent="0.3">
      <c r="B6" t="s">
        <v>8</v>
      </c>
      <c r="C6" t="e" vm="13">
        <f>_xlfn.XLOOKUP(C2,Table1[Manager],Table1[City])</f>
        <v>#VALUE!</v>
      </c>
      <c r="J6" s="19" t="s">
        <v>28</v>
      </c>
    </row>
    <row r="7" spans="2:10" x14ac:dyDescent="0.3">
      <c r="C7" s="14"/>
    </row>
    <row r="8" spans="2:10" x14ac:dyDescent="0.3">
      <c r="B8" s="21" t="s">
        <v>46</v>
      </c>
      <c r="C8" s="21"/>
    </row>
    <row r="9" spans="2:10" x14ac:dyDescent="0.3">
      <c r="B9" s="15" t="s">
        <v>9</v>
      </c>
      <c r="C9" s="16">
        <f>SUMIFS(Table1[Revenue],Table1[Product],Findings!B9,Table1[Manager],Findings!$C$2)</f>
        <v>17219.660000000003</v>
      </c>
    </row>
    <row r="10" spans="2:10" x14ac:dyDescent="0.3">
      <c r="B10" s="15" t="s">
        <v>14</v>
      </c>
      <c r="C10" s="16">
        <f>SUMIFS(Table1[Revenue],Table1[Product],Findings!B10,Table1[Manager],Findings!$C$2)</f>
        <v>18402.100000000002</v>
      </c>
    </row>
    <row r="11" spans="2:10" x14ac:dyDescent="0.3">
      <c r="B11" s="15" t="s">
        <v>17</v>
      </c>
      <c r="C11" s="16">
        <f>SUMIFS(Table1[Revenue],Table1[Product],Findings!B11,Table1[Manager],Findings!$C$2)</f>
        <v>9026.91</v>
      </c>
    </row>
    <row r="12" spans="2:10" x14ac:dyDescent="0.3">
      <c r="B12" s="15" t="s">
        <v>21</v>
      </c>
      <c r="C12" s="16">
        <f>SUMIFS(Table1[Revenue],Table1[Product],Findings!B12,Table1[Manager],Findings!$C$2)</f>
        <v>73692.27</v>
      </c>
    </row>
    <row r="13" spans="2:10" x14ac:dyDescent="0.3">
      <c r="B13" s="15" t="s">
        <v>25</v>
      </c>
      <c r="C13" s="16">
        <f>SUMIFS(Table1[Revenue],Table1[Product],Findings!B13,Table1[Manager],Findings!$C$2)</f>
        <v>18089.099999999999</v>
      </c>
    </row>
    <row r="14" spans="2:10" x14ac:dyDescent="0.3">
      <c r="B14" s="17" t="s">
        <v>47</v>
      </c>
      <c r="C14" s="18">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Raw (2)</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Likitha Kotla</cp:lastModifiedBy>
  <dcterms:created xsi:type="dcterms:W3CDTF">2023-02-14T11:15:23Z</dcterms:created>
  <dcterms:modified xsi:type="dcterms:W3CDTF">2026-02-08T02:47:39Z</dcterms:modified>
</cp:coreProperties>
</file>